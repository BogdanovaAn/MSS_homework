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75" windowWidth="20115" windowHeight="7995" activeTab="1"/>
  </bookViews>
  <sheets>
    <sheet name="явная " sheetId="1" r:id="rId1"/>
    <sheet name="неявная" sheetId="4" r:id="rId2"/>
    <sheet name="Лист2" sheetId="2" r:id="rId3"/>
    <sheet name="Лист3" sheetId="3" r:id="rId4"/>
  </sheets>
  <calcPr calcId="144525"/>
</workbook>
</file>

<file path=xl/calcChain.xml><?xml version="1.0" encoding="utf-8"?>
<calcChain xmlns="http://schemas.openxmlformats.org/spreadsheetml/2006/main">
  <c r="F6" i="4" l="1"/>
  <c r="G6" i="1"/>
  <c r="G22" i="4" l="1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F22" i="4"/>
  <c r="F20" i="4"/>
  <c r="C17" i="4"/>
  <c r="C16" i="4"/>
  <c r="C15" i="4"/>
  <c r="AJ13" i="4"/>
  <c r="F13" i="4"/>
  <c r="C4" i="4"/>
  <c r="H19" i="4" l="1"/>
  <c r="G19" i="4"/>
  <c r="I19" i="4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G20" i="4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AI20" i="4" s="1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<sst xmlns="http://schemas.openxmlformats.org/spreadsheetml/2006/main" count="33" uniqueCount="19">
  <si>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</si>
  <si>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</si>
  <si>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</si>
  <si>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</si>
  <si>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</si>
  <si>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</si>
  <si>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</si>
  <si>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</si>
  <si>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</si>
  <si>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</si>
  <si>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</si>
  <si>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alpha</t>
  </si>
  <si>
    <t>t_gas</t>
  </si>
  <si>
    <t>A</t>
  </si>
  <si>
    <t>B</t>
  </si>
  <si>
    <t>C</t>
  </si>
  <si>
    <t>betta</t>
  </si>
  <si>
    <t>F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</si>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</sst>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mbria Math"/>
      <family val="1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5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0" applyFont="1"/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58174672610369"/>
          <c:y val="0.14960524141031489"/>
          <c:w val="0.6276030361069731"/>
          <c:h val="0.75811393852846476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00448"/>
        <c:axId val="72801024"/>
      </c:scatterChart>
      <c:valAx>
        <c:axId val="72800448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72801024"/>
        <c:crosses val="autoZero"/>
        <c:crossBetween val="midCat"/>
      </c:valAx>
      <c:valAx>
        <c:axId val="72801024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728004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58174672610369"/>
          <c:y val="0.14960524141031489"/>
          <c:w val="0.6276030361069731"/>
          <c:h val="0.75811393852846476"/>
        </c:manualLayout>
      </c:layout>
      <c:scatterChart>
        <c:scatterStyle val="smoothMarker"/>
        <c:varyColors val="0"/>
        <c:ser>
          <c:idx val="1"/>
          <c:order val="1"/>
          <c:spPr>
            <a:ln w="3810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неявная!$F$12:$AJ$12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281.75789775029733</c:v>
                </c:pt>
                <c:pt idx="2">
                  <c:v>263.65940318380223</c:v>
                </c:pt>
                <c:pt idx="3">
                  <c:v>245.84571657605565</c:v>
                </c:pt>
                <c:pt idx="4">
                  <c:v>228.45329621454553</c:v>
                </c:pt>
                <c:pt idx="5">
                  <c:v>211.61166563542048</c:v>
                </c:pt>
                <c:pt idx="6">
                  <c:v>195.44142427147096</c:v>
                </c:pt>
                <c:pt idx="7">
                  <c:v>180.05251268554485</c:v>
                </c:pt>
                <c:pt idx="8">
                  <c:v>165.54277086077104</c:v>
                </c:pt>
                <c:pt idx="9">
                  <c:v>151.99681391836833</c:v>
                </c:pt>
                <c:pt idx="10">
                  <c:v>139.4852350885603</c:v>
                </c:pt>
                <c:pt idx="11">
                  <c:v>128.06413171260067</c:v>
                </c:pt>
                <c:pt idx="12">
                  <c:v>117.77493736077081</c:v>
                </c:pt>
                <c:pt idx="13">
                  <c:v>108.64453251900976</c:v>
                </c:pt>
                <c:pt idx="14">
                  <c:v>100.68559823394757</c:v>
                </c:pt>
                <c:pt idx="15">
                  <c:v>93.897171894444369</c:v>
                </c:pt>
                <c:pt idx="16">
                  <c:v>88.265362015785485</c:v>
                </c:pt>
                <c:pt idx="17">
                  <c:v>83.764179309351974</c:v>
                </c:pt>
                <c:pt idx="18">
                  <c:v>80.356444107176955</c:v>
                </c:pt>
                <c:pt idx="19">
                  <c:v>77.994734867108619</c:v>
                </c:pt>
                <c:pt idx="20">
                  <c:v>76.622348423646599</c:v>
                </c:pt>
                <c:pt idx="21">
                  <c:v>76.174249257061945</c:v>
                </c:pt>
                <c:pt idx="22">
                  <c:v>76.577991742202158</c:v>
                </c:pt>
                <c:pt idx="23">
                  <c:v>77.754605598125579</c:v>
                </c:pt>
                <c:pt idx="24">
                  <c:v>79.619440194228758</c:v>
                </c:pt>
                <c:pt idx="25">
                  <c:v>82.082967719226616</c:v>
                </c:pt>
                <c:pt idx="26">
                  <c:v>85.051548373337624</c:v>
                </c:pt>
                <c:pt idx="27">
                  <c:v>88.428162727211955</c:v>
                </c:pt>
                <c:pt idx="28">
                  <c:v>92.113117347745003</c:v>
                </c:pt>
                <c:pt idx="29">
                  <c:v>96.004729952355206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69632"/>
        <c:axId val="174470208"/>
      </c:scatterChart>
      <c:valAx>
        <c:axId val="174469632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74470208"/>
        <c:crosses val="autoZero"/>
        <c:crossBetween val="midCat"/>
      </c:valAx>
      <c:valAx>
        <c:axId val="174470208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74469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58174672610369"/>
          <c:y val="0.14960524141031489"/>
          <c:w val="0.6276030361069731"/>
          <c:h val="0.75811393852846476"/>
        </c:manualLayout>
      </c:layout>
      <c:scatterChart>
        <c:scatterStyle val="smoothMarker"/>
        <c:varyColors val="0"/>
        <c:ser>
          <c:idx val="1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неявная!$F$12:$AJ$12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281.75789775029733</c:v>
                </c:pt>
                <c:pt idx="2">
                  <c:v>263.65940318380223</c:v>
                </c:pt>
                <c:pt idx="3">
                  <c:v>245.84571657605565</c:v>
                </c:pt>
                <c:pt idx="4">
                  <c:v>228.45329621454553</c:v>
                </c:pt>
                <c:pt idx="5">
                  <c:v>211.61166563542048</c:v>
                </c:pt>
                <c:pt idx="6">
                  <c:v>195.44142427147096</c:v>
                </c:pt>
                <c:pt idx="7">
                  <c:v>180.05251268554485</c:v>
                </c:pt>
                <c:pt idx="8">
                  <c:v>165.54277086077104</c:v>
                </c:pt>
                <c:pt idx="9">
                  <c:v>151.99681391836833</c:v>
                </c:pt>
                <c:pt idx="10">
                  <c:v>139.4852350885603</c:v>
                </c:pt>
                <c:pt idx="11">
                  <c:v>128.06413171260067</c:v>
                </c:pt>
                <c:pt idx="12">
                  <c:v>117.77493736077081</c:v>
                </c:pt>
                <c:pt idx="13">
                  <c:v>108.64453251900976</c:v>
                </c:pt>
                <c:pt idx="14">
                  <c:v>100.68559823394757</c:v>
                </c:pt>
                <c:pt idx="15">
                  <c:v>93.897171894444369</c:v>
                </c:pt>
                <c:pt idx="16">
                  <c:v>88.265362015785485</c:v>
                </c:pt>
                <c:pt idx="17">
                  <c:v>83.764179309351974</c:v>
                </c:pt>
                <c:pt idx="18">
                  <c:v>80.356444107176955</c:v>
                </c:pt>
                <c:pt idx="19">
                  <c:v>77.994734867108619</c:v>
                </c:pt>
                <c:pt idx="20">
                  <c:v>76.622348423646599</c:v>
                </c:pt>
                <c:pt idx="21">
                  <c:v>76.174249257061945</c:v>
                </c:pt>
                <c:pt idx="22">
                  <c:v>76.577991742202158</c:v>
                </c:pt>
                <c:pt idx="23">
                  <c:v>77.754605598125579</c:v>
                </c:pt>
                <c:pt idx="24">
                  <c:v>79.619440194228758</c:v>
                </c:pt>
                <c:pt idx="25">
                  <c:v>82.082967719226616</c:v>
                </c:pt>
                <c:pt idx="26">
                  <c:v>85.051548373337624</c:v>
                </c:pt>
                <c:pt idx="27">
                  <c:v>88.428162727211955</c:v>
                </c:pt>
                <c:pt idx="28">
                  <c:v>92.113117347745003</c:v>
                </c:pt>
                <c:pt idx="29">
                  <c:v>96.004729952355206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81632"/>
        <c:axId val="189613760"/>
      </c:scatterChart>
      <c:valAx>
        <c:axId val="188781632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89613760"/>
        <c:crosses val="autoZero"/>
        <c:crossBetween val="midCat"/>
      </c:valAx>
      <c:valAx>
        <c:axId val="189613760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88781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19</xdr:row>
      <xdr:rowOff>29935</xdr:rowOff>
    </xdr:from>
    <xdr:to>
      <xdr:col>9</xdr:col>
      <xdr:colOff>122464</xdr:colOff>
      <xdr:row>41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444953</xdr:colOff>
      <xdr:row>20</xdr:row>
      <xdr:rowOff>55109</xdr:rowOff>
    </xdr:from>
    <xdr:ext cx="581025" cy="3427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057274" y="3865109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057274" y="3865109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𝑻,[𝑪]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7</xdr:col>
      <xdr:colOff>419101</xdr:colOff>
      <xdr:row>38</xdr:row>
      <xdr:rowOff>76880</xdr:rowOff>
    </xdr:from>
    <xdr:ext cx="914400" cy="3427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4732565" y="7315880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4732565" y="7315880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𝑳,[𝒎]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537482</xdr:colOff>
      <xdr:row>28</xdr:row>
      <xdr:rowOff>43542</xdr:rowOff>
    </xdr:from>
    <xdr:to>
      <xdr:col>20</xdr:col>
      <xdr:colOff>91168</xdr:colOff>
      <xdr:row>48</xdr:row>
      <xdr:rowOff>14967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458561</xdr:colOff>
      <xdr:row>29</xdr:row>
      <xdr:rowOff>680</xdr:rowOff>
    </xdr:from>
    <xdr:ext cx="581025" cy="3427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8650061" y="5525180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8650061" y="5525180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𝑻,[𝑪]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18</xdr:col>
      <xdr:colOff>446315</xdr:colOff>
      <xdr:row>45</xdr:row>
      <xdr:rowOff>131308</xdr:rowOff>
    </xdr:from>
    <xdr:ext cx="914400" cy="3427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1699422" y="8703808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1699422" y="8703808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𝑳,[𝒎]</a:t>
              </a:r>
              <a:endParaRPr lang="ru-RU" sz="1600" b="1"/>
            </a:p>
          </xdr:txBody>
        </xdr:sp>
      </mc:Fallback>
    </mc:AlternateContent>
    <xdr:clientData/>
  </xdr:oneCellAnchor>
  <xdr:twoCellAnchor>
    <xdr:from>
      <xdr:col>3</xdr:col>
      <xdr:colOff>68035</xdr:colOff>
      <xdr:row>27</xdr:row>
      <xdr:rowOff>122465</xdr:rowOff>
    </xdr:from>
    <xdr:to>
      <xdr:col>10</xdr:col>
      <xdr:colOff>29935</xdr:colOff>
      <xdr:row>47</xdr:row>
      <xdr:rowOff>93890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</xdr:col>
      <xdr:colOff>503464</xdr:colOff>
      <xdr:row>28</xdr:row>
      <xdr:rowOff>68035</xdr:rowOff>
    </xdr:from>
    <xdr:ext cx="581025" cy="3427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/>
            <xdr:cNvSpPr txBox="1"/>
          </xdr:nvSpPr>
          <xdr:spPr>
            <a:xfrm>
              <a:off x="2367643" y="5402035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7" name="TextBox 6"/>
            <xdr:cNvSpPr txBox="1"/>
          </xdr:nvSpPr>
          <xdr:spPr>
            <a:xfrm>
              <a:off x="2367643" y="5402035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𝑻,[𝑪]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8</xdr:col>
      <xdr:colOff>312964</xdr:colOff>
      <xdr:row>44</xdr:row>
      <xdr:rowOff>176893</xdr:rowOff>
    </xdr:from>
    <xdr:ext cx="914400" cy="3427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/>
            <xdr:cNvSpPr txBox="1"/>
          </xdr:nvSpPr>
          <xdr:spPr>
            <a:xfrm>
              <a:off x="5442857" y="8558893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>
        <xdr:sp macro="" textlink="">
          <xdr:nvSpPr>
            <xdr:cNvPr id="8" name="TextBox 7"/>
            <xdr:cNvSpPr txBox="1"/>
          </xdr:nvSpPr>
          <xdr:spPr>
            <a:xfrm>
              <a:off x="5442857" y="8558893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𝑳,[𝒎]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21"/>
  <sheetViews>
    <sheetView topLeftCell="A13" zoomScale="70" zoomScaleNormal="70" workbookViewId="0">
      <selection activeCell="G13" sqref="G13:AI13"/>
    </sheetView>
  </sheetViews>
  <sheetFormatPr defaultRowHeight="15" x14ac:dyDescent="0.25"/>
  <cols>
    <col min="3" max="3" width="9.5703125" bestFit="1" customWidth="1"/>
  </cols>
  <sheetData>
    <row r="3" spans="1:36" x14ac:dyDescent="0.25">
      <c r="B3" s="4" t="s">
        <v>0</v>
      </c>
      <c r="C3" s="4">
        <v>0.1</v>
      </c>
    </row>
    <row r="4" spans="1:36" x14ac:dyDescent="0.25">
      <c r="B4" s="4" t="s">
        <v>1</v>
      </c>
      <c r="C4" s="5">
        <f>C3/30</f>
        <v>3.3333333333333335E-3</v>
      </c>
    </row>
    <row r="5" spans="1:36" x14ac:dyDescent="0.25">
      <c r="B5" s="4" t="s">
        <v>2</v>
      </c>
      <c r="C5" s="5">
        <v>2</v>
      </c>
    </row>
    <row r="6" spans="1:36" x14ac:dyDescent="0.25">
      <c r="B6" s="4" t="s">
        <v>3</v>
      </c>
      <c r="C6" s="4">
        <v>60</v>
      </c>
      <c r="D6">
        <v>0</v>
      </c>
      <c r="G6">
        <f>C6/C5</f>
        <v>30</v>
      </c>
    </row>
    <row r="7" spans="1:36" x14ac:dyDescent="0.25">
      <c r="A7" s="8"/>
      <c r="B7" s="11"/>
      <c r="C7" s="9"/>
      <c r="D7" s="8"/>
    </row>
    <row r="8" spans="1:36" x14ac:dyDescent="0.25">
      <c r="B8" s="4" t="s">
        <v>4</v>
      </c>
      <c r="C8" s="4">
        <v>460</v>
      </c>
    </row>
    <row r="9" spans="1:36" x14ac:dyDescent="0.25">
      <c r="B9" s="4" t="s">
        <v>5</v>
      </c>
      <c r="C9" s="4">
        <v>7800</v>
      </c>
    </row>
    <row r="10" spans="1:36" x14ac:dyDescent="0.25">
      <c r="B10" s="6" t="s">
        <v>6</v>
      </c>
      <c r="C10" s="6">
        <v>46</v>
      </c>
    </row>
    <row r="11" spans="1:36" x14ac:dyDescent="0.25">
      <c r="A11" s="8"/>
      <c r="B11" s="10"/>
      <c r="C11" s="10"/>
      <c r="D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7" t="s">
        <v>8</v>
      </c>
      <c r="C12" s="7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4" t="s">
        <v>9</v>
      </c>
      <c r="C13" s="4">
        <v>100</v>
      </c>
      <c r="E13" t="s">
        <v>7</v>
      </c>
      <c r="F13" s="1">
        <f>C12</f>
        <v>300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f>C13</f>
        <v>100</v>
      </c>
    </row>
    <row r="14" spans="1:36" x14ac:dyDescent="0.25">
      <c r="B14" s="13" t="s">
        <v>11</v>
      </c>
      <c r="C14" s="13">
        <v>1000</v>
      </c>
    </row>
    <row r="15" spans="1:36" x14ac:dyDescent="0.25">
      <c r="B15" s="13" t="s">
        <v>12</v>
      </c>
      <c r="C15" s="13">
        <v>392</v>
      </c>
      <c r="E15" t="s">
        <v>10</v>
      </c>
      <c r="G15" s="1">
        <f>G13+(($C$10*$C$5)/($C$9*$C$8))*((H13-2*G13+F13)/($C$4^2))</f>
        <v>692.30769230769215</v>
      </c>
      <c r="H15" s="1">
        <f t="shared" ref="H15:AI15" si="1">H13+(($C$10*$C$5)/($C$9*$C$8))*((I13-2*H13+G13)/($C$4^2))</f>
        <v>0</v>
      </c>
      <c r="I15" s="1">
        <f t="shared" si="1"/>
        <v>0</v>
      </c>
      <c r="J15" s="1">
        <f t="shared" si="1"/>
        <v>0</v>
      </c>
      <c r="K15" s="1">
        <f t="shared" si="1"/>
        <v>0</v>
      </c>
      <c r="L15" s="1">
        <f t="shared" si="1"/>
        <v>0</v>
      </c>
      <c r="M15" s="1">
        <f t="shared" si="1"/>
        <v>0</v>
      </c>
      <c r="N15" s="1">
        <f t="shared" si="1"/>
        <v>0</v>
      </c>
      <c r="O15" s="1">
        <f t="shared" si="1"/>
        <v>0</v>
      </c>
      <c r="P15" s="1">
        <f t="shared" si="1"/>
        <v>0</v>
      </c>
      <c r="Q15" s="1">
        <f t="shared" si="1"/>
        <v>0</v>
      </c>
      <c r="R15" s="1">
        <f t="shared" si="1"/>
        <v>0</v>
      </c>
      <c r="S15" s="1">
        <f t="shared" si="1"/>
        <v>0</v>
      </c>
      <c r="T15" s="1">
        <f t="shared" si="1"/>
        <v>0</v>
      </c>
      <c r="U15" s="1">
        <f t="shared" si="1"/>
        <v>0</v>
      </c>
      <c r="V15" s="1">
        <f t="shared" si="1"/>
        <v>0</v>
      </c>
      <c r="W15" s="1">
        <f t="shared" si="1"/>
        <v>0</v>
      </c>
      <c r="X15" s="1">
        <f t="shared" si="1"/>
        <v>0</v>
      </c>
      <c r="Y15" s="1">
        <f t="shared" si="1"/>
        <v>0</v>
      </c>
      <c r="Z15" s="1">
        <f t="shared" si="1"/>
        <v>0</v>
      </c>
      <c r="AA15" s="1">
        <f t="shared" si="1"/>
        <v>0</v>
      </c>
      <c r="AB15" s="1">
        <f t="shared" si="1"/>
        <v>0</v>
      </c>
      <c r="AC15" s="1">
        <f t="shared" si="1"/>
        <v>0</v>
      </c>
      <c r="AD15" s="1">
        <f t="shared" si="1"/>
        <v>0</v>
      </c>
      <c r="AE15" s="1">
        <f t="shared" si="1"/>
        <v>0</v>
      </c>
      <c r="AF15" s="1">
        <f t="shared" si="1"/>
        <v>0</v>
      </c>
      <c r="AG15" s="1">
        <f t="shared" si="1"/>
        <v>0</v>
      </c>
      <c r="AH15" s="1">
        <f t="shared" si="1"/>
        <v>0</v>
      </c>
      <c r="AI15" s="1">
        <f t="shared" si="1"/>
        <v>230.76923076923072</v>
      </c>
    </row>
    <row r="21" spans="13:13" ht="15" customHeight="1" x14ac:dyDescent="3.5">
      <c r="M21" s="12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AJ22"/>
  <sheetViews>
    <sheetView tabSelected="1" zoomScale="70" zoomScaleNormal="70" workbookViewId="0">
      <selection activeCell="G15" sqref="G15:AI15"/>
    </sheetView>
  </sheetViews>
  <sheetFormatPr defaultRowHeight="15" x14ac:dyDescent="0.25"/>
  <cols>
    <col min="3" max="3" width="9.5703125" bestFit="1" customWidth="1"/>
    <col min="6" max="6" width="12.140625" bestFit="1" customWidth="1"/>
  </cols>
  <sheetData>
    <row r="3" spans="1:36" x14ac:dyDescent="0.25">
      <c r="B3" s="4" t="s">
        <v>0</v>
      </c>
      <c r="C3" s="4">
        <v>0.1</v>
      </c>
    </row>
    <row r="4" spans="1:36" x14ac:dyDescent="0.25">
      <c r="B4" s="4" t="s">
        <v>1</v>
      </c>
      <c r="C4" s="5">
        <f>C3/30</f>
        <v>3.3333333333333335E-3</v>
      </c>
    </row>
    <row r="5" spans="1:36" x14ac:dyDescent="0.25">
      <c r="B5" s="4" t="s">
        <v>2</v>
      </c>
      <c r="C5" s="5">
        <v>2</v>
      </c>
    </row>
    <row r="6" spans="1:36" x14ac:dyDescent="0.25">
      <c r="B6" s="4" t="s">
        <v>3</v>
      </c>
      <c r="C6" s="4">
        <v>60</v>
      </c>
      <c r="D6">
        <v>0</v>
      </c>
      <c r="F6">
        <f>C6/C5</f>
        <v>30</v>
      </c>
    </row>
    <row r="7" spans="1:36" x14ac:dyDescent="0.25">
      <c r="A7" s="8"/>
      <c r="B7" s="11"/>
      <c r="C7" s="9"/>
      <c r="D7" s="8"/>
    </row>
    <row r="8" spans="1:36" x14ac:dyDescent="0.25">
      <c r="B8" s="4" t="s">
        <v>4</v>
      </c>
      <c r="C8" s="4">
        <v>460</v>
      </c>
    </row>
    <row r="9" spans="1:36" x14ac:dyDescent="0.25">
      <c r="B9" s="4" t="s">
        <v>5</v>
      </c>
      <c r="C9" s="4">
        <v>7800</v>
      </c>
    </row>
    <row r="10" spans="1:36" x14ac:dyDescent="0.25">
      <c r="B10" s="6" t="s">
        <v>6</v>
      </c>
      <c r="C10" s="6">
        <v>46</v>
      </c>
    </row>
    <row r="11" spans="1:36" x14ac:dyDescent="0.25">
      <c r="A11" s="8"/>
      <c r="B11" s="10"/>
      <c r="C11" s="10"/>
      <c r="D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7" t="s">
        <v>8</v>
      </c>
      <c r="C12" s="7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4" t="s">
        <v>9</v>
      </c>
      <c r="C13" s="4">
        <v>100</v>
      </c>
      <c r="E13" t="s">
        <v>7</v>
      </c>
      <c r="F13" s="1">
        <f>C12</f>
        <v>300</v>
      </c>
      <c r="G13" s="1">
        <v>281.75789775029733</v>
      </c>
      <c r="H13" s="1">
        <v>263.65940318380223</v>
      </c>
      <c r="I13" s="1">
        <v>245.84571657605565</v>
      </c>
      <c r="J13" s="1">
        <v>228.45329621454553</v>
      </c>
      <c r="K13" s="1">
        <v>211.61166563542048</v>
      </c>
      <c r="L13" s="1">
        <v>195.44142427147096</v>
      </c>
      <c r="M13" s="1">
        <v>180.05251268554485</v>
      </c>
      <c r="N13" s="1">
        <v>165.54277086077104</v>
      </c>
      <c r="O13" s="1">
        <v>151.99681391836833</v>
      </c>
      <c r="P13" s="1">
        <v>139.4852350885603</v>
      </c>
      <c r="Q13" s="1">
        <v>128.06413171260067</v>
      </c>
      <c r="R13" s="1">
        <v>117.77493736077081</v>
      </c>
      <c r="S13" s="1">
        <v>108.64453251900976</v>
      </c>
      <c r="T13" s="1">
        <v>100.68559823394757</v>
      </c>
      <c r="U13" s="1">
        <v>93.897171894444369</v>
      </c>
      <c r="V13" s="1">
        <v>88.265362015785485</v>
      </c>
      <c r="W13" s="1">
        <v>83.764179309351974</v>
      </c>
      <c r="X13" s="1">
        <v>80.356444107176955</v>
      </c>
      <c r="Y13" s="1">
        <v>77.994734867108619</v>
      </c>
      <c r="Z13" s="1">
        <v>76.622348423646599</v>
      </c>
      <c r="AA13" s="1">
        <v>76.174249257061945</v>
      </c>
      <c r="AB13" s="1">
        <v>76.577991742202158</v>
      </c>
      <c r="AC13" s="1">
        <v>77.754605598125579</v>
      </c>
      <c r="AD13" s="1">
        <v>79.619440194228758</v>
      </c>
      <c r="AE13" s="1">
        <v>82.082967719226616</v>
      </c>
      <c r="AF13" s="1">
        <v>85.051548373337624</v>
      </c>
      <c r="AG13" s="1">
        <v>88.428162727211955</v>
      </c>
      <c r="AH13" s="1">
        <v>92.113117347745003</v>
      </c>
      <c r="AI13" s="1">
        <v>96.004729952355206</v>
      </c>
      <c r="AJ13" s="1">
        <f>C13</f>
        <v>100</v>
      </c>
    </row>
    <row r="15" spans="1:36" x14ac:dyDescent="0.25">
      <c r="B15" t="s">
        <v>13</v>
      </c>
      <c r="C15">
        <f>C10/(C4^2)</f>
        <v>4139999.9999999991</v>
      </c>
      <c r="E15" t="s">
        <v>10</v>
      </c>
      <c r="G15" s="1">
        <f t="shared" ref="G15:AH15" si="1">G19*H15+G20</f>
        <v>282.07728100476857</v>
      </c>
      <c r="H15" s="1">
        <f t="shared" si="1"/>
        <v>264.29296141980808</v>
      </c>
      <c r="I15" s="1">
        <f t="shared" si="1"/>
        <v>246.78318373711684</v>
      </c>
      <c r="J15" s="1">
        <f t="shared" si="1"/>
        <v>229.67964182421883</v>
      </c>
      <c r="K15" s="1">
        <f t="shared" si="1"/>
        <v>213.10751634217928</v>
      </c>
      <c r="L15" s="1">
        <f t="shared" si="1"/>
        <v>197.18359283306859</v>
      </c>
      <c r="M15" s="1">
        <f t="shared" si="1"/>
        <v>182.01460903398359</v>
      </c>
      <c r="N15" s="1">
        <f t="shared" si="1"/>
        <v>167.69586698588867</v>
      </c>
      <c r="O15" s="1">
        <f t="shared" si="1"/>
        <v>154.31013325867806</v>
      </c>
      <c r="P15" s="1">
        <f t="shared" si="1"/>
        <v>141.9268379122683</v>
      </c>
      <c r="Q15" s="1">
        <f t="shared" si="1"/>
        <v>130.60157045613195</v>
      </c>
      <c r="R15" s="1">
        <f t="shared" si="1"/>
        <v>120.37585978885915</v>
      </c>
      <c r="S15" s="1">
        <f t="shared" si="1"/>
        <v>111.27721550709128</v>
      </c>
      <c r="T15" s="1">
        <f t="shared" si="1"/>
        <v>103.31940052015875</v>
      </c>
      <c r="U15" s="1">
        <f t="shared" si="1"/>
        <v>96.502899857251037</v>
      </c>
      <c r="V15" s="1">
        <f t="shared" si="1"/>
        <v>90.81554797822622</v>
      </c>
      <c r="W15" s="1">
        <f t="shared" si="1"/>
        <v>86.233276682925734</v>
      </c>
      <c r="X15" s="1">
        <f t="shared" si="1"/>
        <v>82.720947582840537</v>
      </c>
      <c r="Y15" s="1">
        <f t="shared" si="1"/>
        <v>80.23323665554291</v>
      </c>
      <c r="Z15" s="1">
        <f t="shared" si="1"/>
        <v>78.715543169900116</v>
      </c>
      <c r="AA15" s="1">
        <f t="shared" si="1"/>
        <v>78.104900740967182</v>
      </c>
      <c r="AB15" s="1">
        <f t="shared" si="1"/>
        <v>78.330873955059872</v>
      </c>
      <c r="AC15" s="1">
        <f t="shared" si="1"/>
        <v>79.316429461390882</v>
      </c>
      <c r="AD15" s="1">
        <f t="shared" si="1"/>
        <v>80.978775308470162</v>
      </c>
      <c r="AE15" s="1">
        <f t="shared" si="1"/>
        <v>83.230166371720713</v>
      </c>
      <c r="AF15" s="1">
        <f t="shared" si="1"/>
        <v>85.978676851052029</v>
      </c>
      <c r="AG15" s="1">
        <f t="shared" si="1"/>
        <v>89.128943004059607</v>
      </c>
      <c r="AH15" s="1">
        <f t="shared" si="1"/>
        <v>92.582880610367823</v>
      </c>
      <c r="AI15" s="1">
        <f>AI19*AJ15+AI20</f>
        <v>96.240382297145914</v>
      </c>
      <c r="AJ15">
        <v>100</v>
      </c>
    </row>
    <row r="16" spans="1:36" x14ac:dyDescent="0.25">
      <c r="B16" t="s">
        <v>14</v>
      </c>
      <c r="C16">
        <f>(2*C10)/(C4^2)+(C9*C8)/C5</f>
        <v>10073999.999999998</v>
      </c>
    </row>
    <row r="17" spans="2:35" x14ac:dyDescent="0.25">
      <c r="B17" t="s">
        <v>15</v>
      </c>
      <c r="C17">
        <f>C15</f>
        <v>4139999.9999999991</v>
      </c>
    </row>
    <row r="19" spans="2:35" x14ac:dyDescent="0.25">
      <c r="E19" t="s">
        <v>11</v>
      </c>
      <c r="F19">
        <v>0</v>
      </c>
      <c r="G19">
        <f>$C$15/($C$16-$C$17*F19)</f>
        <v>0.41095890410958902</v>
      </c>
      <c r="H19">
        <f t="shared" ref="H19:AI19" si="2">$C$15/($C$16-$C$17*G19)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 x14ac:dyDescent="0.25">
      <c r="E20" t="s">
        <v>16</v>
      </c>
      <c r="F20">
        <f>F13</f>
        <v>300</v>
      </c>
      <c r="G20">
        <f>(F20*$C$17-G22)/($C$16-$C$17*F19)</f>
        <v>173.46373521580637</v>
      </c>
      <c r="H20">
        <f t="shared" ref="H20:AI20" si="3">(G20*$C$17-H22)/($C$16-$C$17*G19)</f>
        <v>142.26650569971645</v>
      </c>
      <c r="I20">
        <f t="shared" si="3"/>
        <v>128.32231349492028</v>
      </c>
      <c r="J20">
        <f t="shared" si="3"/>
        <v>118.54535518126285</v>
      </c>
      <c r="K20">
        <f t="shared" si="3"/>
        <v>109.96935654767792</v>
      </c>
      <c r="L20">
        <f t="shared" si="3"/>
        <v>101.90179608245383</v>
      </c>
      <c r="M20">
        <f t="shared" si="3"/>
        <v>94.208783956110935</v>
      </c>
      <c r="N20">
        <f t="shared" si="3"/>
        <v>86.893872152849738</v>
      </c>
      <c r="O20">
        <f t="shared" si="3"/>
        <v>79.991198659357096</v>
      </c>
      <c r="P20">
        <f t="shared" si="3"/>
        <v>73.537979790748494</v>
      </c>
      <c r="Q20">
        <f t="shared" si="3"/>
        <v>67.567274707844561</v>
      </c>
      <c r="R20">
        <f t="shared" si="3"/>
        <v>62.106009344608303</v>
      </c>
      <c r="S20">
        <f t="shared" si="3"/>
        <v>57.174436588066392</v>
      </c>
      <c r="T20">
        <f t="shared" si="3"/>
        <v>52.786052804276963</v>
      </c>
      <c r="U20">
        <f t="shared" si="3"/>
        <v>48.947710286554859</v>
      </c>
      <c r="V20">
        <f t="shared" si="3"/>
        <v>45.659845906274825</v>
      </c>
      <c r="W20">
        <f t="shared" si="3"/>
        <v>42.916791332326753</v>
      </c>
      <c r="X20">
        <f t="shared" si="3"/>
        <v>40.70714186267174</v>
      </c>
      <c r="Y20">
        <f t="shared" si="3"/>
        <v>39.014164910628267</v>
      </c>
      <c r="Z20">
        <f t="shared" si="3"/>
        <v>37.816231831118152</v>
      </c>
      <c r="AA20">
        <f t="shared" si="3"/>
        <v>37.087259454134994</v>
      </c>
      <c r="AB20">
        <f t="shared" si="3"/>
        <v>36.797150564345436</v>
      </c>
      <c r="AC20">
        <f t="shared" si="3"/>
        <v>36.912225477161186</v>
      </c>
      <c r="AD20">
        <f t="shared" si="3"/>
        <v>37.395639616136663</v>
      </c>
      <c r="AE20">
        <f t="shared" si="3"/>
        <v>38.207784425359989</v>
      </c>
      <c r="AF20">
        <f t="shared" si="3"/>
        <v>39.30667093781954</v>
      </c>
      <c r="AG20">
        <f t="shared" si="3"/>
        <v>40.648296811336571</v>
      </c>
      <c r="AH20">
        <f t="shared" si="3"/>
        <v>42.186998641257404</v>
      </c>
      <c r="AI20">
        <f t="shared" si="3"/>
        <v>43.875791918118558</v>
      </c>
    </row>
    <row r="21" spans="2:35" ht="15" customHeight="1" x14ac:dyDescent="3.5">
      <c r="E21" t="s">
        <v>18</v>
      </c>
      <c r="M21" s="12"/>
    </row>
    <row r="22" spans="2:35" x14ac:dyDescent="0.25">
      <c r="E22" t="s">
        <v>17</v>
      </c>
      <c r="F22">
        <f>-(($C$9*$C$8)/$C$5)*F13</f>
        <v>-538200000</v>
      </c>
      <c r="G22">
        <f t="shared" ref="G22:AI22" si="4">-(($C$9*$C$8)/$C$5)*G13</f>
        <v>-505473668.56403339</v>
      </c>
      <c r="H22">
        <f t="shared" si="4"/>
        <v>-473004969.31174117</v>
      </c>
      <c r="I22">
        <f t="shared" si="4"/>
        <v>-441047215.53744382</v>
      </c>
      <c r="J22">
        <f t="shared" si="4"/>
        <v>-409845213.40889466</v>
      </c>
      <c r="K22">
        <f t="shared" si="4"/>
        <v>-379631328.14994437</v>
      </c>
      <c r="L22">
        <f t="shared" si="4"/>
        <v>-350621915.1430189</v>
      </c>
      <c r="M22">
        <f t="shared" si="4"/>
        <v>-323014207.75786746</v>
      </c>
      <c r="N22">
        <f t="shared" si="4"/>
        <v>-296983730.92422324</v>
      </c>
      <c r="O22">
        <f t="shared" si="4"/>
        <v>-272682284.1695528</v>
      </c>
      <c r="P22">
        <f t="shared" si="4"/>
        <v>-250236511.74887717</v>
      </c>
      <c r="Q22">
        <f t="shared" si="4"/>
        <v>-229747052.29240561</v>
      </c>
      <c r="R22">
        <f t="shared" si="4"/>
        <v>-211288237.62522283</v>
      </c>
      <c r="S22">
        <f t="shared" si="4"/>
        <v>-194908291.33910352</v>
      </c>
      <c r="T22">
        <f t="shared" si="4"/>
        <v>-180629963.23170194</v>
      </c>
      <c r="U22">
        <f t="shared" si="4"/>
        <v>-168451526.3786332</v>
      </c>
      <c r="V22">
        <f t="shared" si="4"/>
        <v>-158348059.45631915</v>
      </c>
      <c r="W22">
        <f t="shared" si="4"/>
        <v>-150272937.68097743</v>
      </c>
      <c r="X22">
        <f t="shared" si="4"/>
        <v>-144159460.72827545</v>
      </c>
      <c r="Y22">
        <f t="shared" si="4"/>
        <v>-139922554.35159287</v>
      </c>
      <c r="Z22">
        <f t="shared" si="4"/>
        <v>-137460493.07202199</v>
      </c>
      <c r="AA22">
        <f t="shared" si="4"/>
        <v>-136656603.16716912</v>
      </c>
      <c r="AB22">
        <f t="shared" si="4"/>
        <v>-137380917.18551067</v>
      </c>
      <c r="AC22">
        <f t="shared" si="4"/>
        <v>-139491762.4430373</v>
      </c>
      <c r="AD22">
        <f t="shared" si="4"/>
        <v>-142837275.70844638</v>
      </c>
      <c r="AE22">
        <f t="shared" si="4"/>
        <v>-147256844.08829254</v>
      </c>
      <c r="AF22">
        <f t="shared" si="4"/>
        <v>-152582477.7817677</v>
      </c>
      <c r="AG22">
        <f t="shared" si="4"/>
        <v>-158640123.93261826</v>
      </c>
      <c r="AH22">
        <f t="shared" si="4"/>
        <v>-165250932.52185455</v>
      </c>
      <c r="AI22">
        <f t="shared" si="4"/>
        <v>-172232485.53452525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явная </vt:lpstr>
      <vt:lpstr>неявная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2021-09-07T08:29:17Z</dcterms:created>
  <dcterms:modified xsi:type="dcterms:W3CDTF">2021-10-17T16:49:59Z</dcterms:modified>
</cp:coreProperties>
</file>