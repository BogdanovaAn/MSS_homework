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75" windowWidth="20115" windowHeight="7995"/>
  </bookViews>
  <sheets>
    <sheet name="неявная" sheetId="4" r:id="rId1"/>
    <sheet name="явная " sheetId="1" r:id="rId2"/>
    <sheet name="Лист2" sheetId="2" r:id="rId3"/>
    <sheet name="Лист3" sheetId="3" r:id="rId4"/>
  </sheets>
  <calcPr calcId="144525"/>
</workbook>
</file>

<file path=xl/calcChain.xml><?xml version="1.0" encoding="utf-8"?>
<calcChain xmlns="http://schemas.openxmlformats.org/spreadsheetml/2006/main">
  <c r="C5" i="4" l="1"/>
  <c r="C5" i="1"/>
  <c r="F6" i="4" l="1"/>
  <c r="G6" i="1"/>
  <c r="G22" i="4" l="1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F22" i="4"/>
  <c r="F20" i="4"/>
  <c r="C16" i="4"/>
  <c r="C15" i="4"/>
  <c r="C17" i="4" s="1"/>
  <c r="AJ13" i="4"/>
  <c r="F13" i="4"/>
  <c r="C4" i="4"/>
  <c r="G19" i="4" l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G20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H20" i="4" l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20" i="4" s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</calcChain>
</file>

<file path=xl/sharedStrings.xml><?xml version="1.0" encoding="utf-8"?>
<sst xmlns="http://schemas.openxmlformats.org/spreadsheetml/2006/main" count="33" uniqueCount="19">
  <si>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</si>
  <si>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</si>
  <si>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</si>
  <si>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</si>
  <si>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</si>
  <si>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</si>
  <si>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</si>
  <si>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</si>
  <si>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</si>
  <si>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</si>
  <si>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</si>
  <si>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alpha</t>
  </si>
  <si>
    <t>t_gas</t>
  </si>
  <si>
    <t>A</t>
  </si>
  <si>
    <t>B</t>
  </si>
  <si>
    <t>C</t>
  </si>
  <si>
    <t>betta</t>
  </si>
  <si>
    <t>F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</si>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</sst>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mbria Math"/>
      <family val="1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0" fillId="0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1"/>
          <c:order val="1"/>
          <c:spPr>
            <a:ln w="3810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неявная!$F$12:$AJ$12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293.09757702258992</c:v>
                </c:pt>
                <c:pt idx="2">
                  <c:v>286.19773704392577</c:v>
                </c:pt>
                <c:pt idx="3">
                  <c:v>279.30303476273588</c:v>
                </c:pt>
                <c:pt idx="4">
                  <c:v>272.41596858778036</c:v>
                </c:pt>
                <c:pt idx="5">
                  <c:v>265.5389532646372</c:v>
                </c:pt>
                <c:pt idx="6">
                  <c:v>258.67429341913794</c:v>
                </c:pt>
                <c:pt idx="7">
                  <c:v>251.82415830732015</c:v>
                </c:pt>
                <c:pt idx="8">
                  <c:v>244.99055804854595</c:v>
                </c:pt>
                <c:pt idx="9">
                  <c:v>238.17532160218349</c:v>
                </c:pt>
                <c:pt idx="10">
                  <c:v>231.3800767291456</c:v>
                </c:pt>
                <c:pt idx="11">
                  <c:v>224.60623215783059</c:v>
                </c:pt>
                <c:pt idx="12">
                  <c:v>217.85496214985744</c:v>
                </c:pt>
                <c:pt idx="13">
                  <c:v>211.12719363469412</c:v>
                </c:pt>
                <c:pt idx="14">
                  <c:v>204.4235960541312</c:v>
                </c:pt>
                <c:pt idx="15">
                  <c:v>197.74457402786237</c:v>
                </c:pt>
                <c:pt idx="16">
                  <c:v>191.09026292052246</c:v>
                </c:pt>
                <c:pt idx="17">
                  <c:v>184.46052735874764</c:v>
                </c:pt>
                <c:pt idx="18">
                  <c:v>177.85496271449696</c:v>
                </c:pt>
                <c:pt idx="19">
                  <c:v>171.27289953837857</c:v>
                </c:pt>
                <c:pt idx="20">
                  <c:v>164.7134108944019</c:v>
                </c:pt>
                <c:pt idx="21">
                  <c:v>158.17532251578908</c:v>
                </c:pt>
                <c:pt idx="22">
                  <c:v>151.65722567057193</c:v>
                </c:pt>
                <c:pt idx="23">
                  <c:v>145.15749259601273</c:v>
                </c:pt>
                <c:pt idx="24">
                  <c:v>138.67429433274327</c:v>
                </c:pt>
                <c:pt idx="25">
                  <c:v>132.20562076322636</c:v>
                </c:pt>
                <c:pt idx="26">
                  <c:v>125.74930263499436</c:v>
                </c:pt>
                <c:pt idx="27">
                  <c:v>119.30303532737484</c:v>
                </c:pt>
                <c:pt idx="28">
                  <c:v>112.86440410131223</c:v>
                </c:pt>
                <c:pt idx="29">
                  <c:v>106.43091055564759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293.02850937589795</c:v>
                </c:pt>
                <c:pt idx="2">
                  <c:v>286.05701875179591</c:v>
                </c:pt>
                <c:pt idx="3">
                  <c:v>279.09885042397275</c:v>
                </c:pt>
                <c:pt idx="4">
                  <c:v>272.14068209614959</c:v>
                </c:pt>
                <c:pt idx="5">
                  <c:v>265.20857610800448</c:v>
                </c:pt>
                <c:pt idx="6">
                  <c:v>258.27647011985943</c:v>
                </c:pt>
                <c:pt idx="7">
                  <c:v>251.38202745707326</c:v>
                </c:pt>
                <c:pt idx="8">
                  <c:v>244.48758479428722</c:v>
                </c:pt>
                <c:pt idx="9">
                  <c:v>237.64076036372688</c:v>
                </c:pt>
                <c:pt idx="10">
                  <c:v>230.79393593316667</c:v>
                </c:pt>
                <c:pt idx="11">
                  <c:v>224.00260348519376</c:v>
                </c:pt>
                <c:pt idx="12">
                  <c:v>217.21127103722097</c:v>
                </c:pt>
                <c:pt idx="13">
                  <c:v>210.48087904647349</c:v>
                </c:pt>
                <c:pt idx="14">
                  <c:v>203.75048705572613</c:v>
                </c:pt>
                <c:pt idx="15">
                  <c:v>197.08382059978197</c:v>
                </c:pt>
                <c:pt idx="16">
                  <c:v>190.41715414383793</c:v>
                </c:pt>
                <c:pt idx="17">
                  <c:v>183.81421318626127</c:v>
                </c:pt>
                <c:pt idx="18">
                  <c:v>177.21127222868472</c:v>
                </c:pt>
                <c:pt idx="19">
                  <c:v>170.66927162532602</c:v>
                </c:pt>
                <c:pt idx="20">
                  <c:v>164.1272710219674</c:v>
                </c:pt>
                <c:pt idx="21">
                  <c:v>157.64076224942806</c:v>
                </c:pt>
                <c:pt idx="22">
                  <c:v>151.15425347688873</c:v>
                </c:pt>
                <c:pt idx="23">
                  <c:v>144.71536276228849</c:v>
                </c:pt>
                <c:pt idx="24">
                  <c:v>138.27647204768826</c:v>
                </c:pt>
                <c:pt idx="25">
                  <c:v>131.87524449177744</c:v>
                </c:pt>
                <c:pt idx="26">
                  <c:v>125.47401693586664</c:v>
                </c:pt>
                <c:pt idx="27">
                  <c:v>119.0988515894002</c:v>
                </c:pt>
                <c:pt idx="28">
                  <c:v>112.72368624293374</c:v>
                </c:pt>
                <c:pt idx="29">
                  <c:v>106.36184312146688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4512"/>
        <c:axId val="41425088"/>
      </c:scatterChart>
      <c:valAx>
        <c:axId val="41424512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41425088"/>
        <c:crosses val="autoZero"/>
        <c:crossBetween val="midCat"/>
      </c:valAx>
      <c:valAx>
        <c:axId val="41425088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41424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1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неявная!$F$12:$AJ$12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293.09757702258992</c:v>
                </c:pt>
                <c:pt idx="2">
                  <c:v>286.19773704392577</c:v>
                </c:pt>
                <c:pt idx="3">
                  <c:v>279.30303476273588</c:v>
                </c:pt>
                <c:pt idx="4">
                  <c:v>272.41596858778036</c:v>
                </c:pt>
                <c:pt idx="5">
                  <c:v>265.5389532646372</c:v>
                </c:pt>
                <c:pt idx="6">
                  <c:v>258.67429341913794</c:v>
                </c:pt>
                <c:pt idx="7">
                  <c:v>251.82415830732015</c:v>
                </c:pt>
                <c:pt idx="8">
                  <c:v>244.99055804854595</c:v>
                </c:pt>
                <c:pt idx="9">
                  <c:v>238.17532160218349</c:v>
                </c:pt>
                <c:pt idx="10">
                  <c:v>231.3800767291456</c:v>
                </c:pt>
                <c:pt idx="11">
                  <c:v>224.60623215783059</c:v>
                </c:pt>
                <c:pt idx="12">
                  <c:v>217.85496214985744</c:v>
                </c:pt>
                <c:pt idx="13">
                  <c:v>211.12719363469412</c:v>
                </c:pt>
                <c:pt idx="14">
                  <c:v>204.4235960541312</c:v>
                </c:pt>
                <c:pt idx="15">
                  <c:v>197.74457402786237</c:v>
                </c:pt>
                <c:pt idx="16">
                  <c:v>191.09026292052246</c:v>
                </c:pt>
                <c:pt idx="17">
                  <c:v>184.46052735874764</c:v>
                </c:pt>
                <c:pt idx="18">
                  <c:v>177.85496271449696</c:v>
                </c:pt>
                <c:pt idx="19">
                  <c:v>171.27289953837857</c:v>
                </c:pt>
                <c:pt idx="20">
                  <c:v>164.7134108944019</c:v>
                </c:pt>
                <c:pt idx="21">
                  <c:v>158.17532251578908</c:v>
                </c:pt>
                <c:pt idx="22">
                  <c:v>151.65722567057193</c:v>
                </c:pt>
                <c:pt idx="23">
                  <c:v>145.15749259601273</c:v>
                </c:pt>
                <c:pt idx="24">
                  <c:v>138.67429433274327</c:v>
                </c:pt>
                <c:pt idx="25">
                  <c:v>132.20562076322636</c:v>
                </c:pt>
                <c:pt idx="26">
                  <c:v>125.74930263499436</c:v>
                </c:pt>
                <c:pt idx="27">
                  <c:v>119.30303532737484</c:v>
                </c:pt>
                <c:pt idx="28">
                  <c:v>112.86440410131223</c:v>
                </c:pt>
                <c:pt idx="29">
                  <c:v>106.43091055564759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72864"/>
        <c:axId val="54304768"/>
      </c:scatterChart>
      <c:valAx>
        <c:axId val="53772864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54304768"/>
        <c:crosses val="autoZero"/>
        <c:crossBetween val="midCat"/>
      </c:valAx>
      <c:valAx>
        <c:axId val="54304768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53772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58174672610369"/>
          <c:y val="0.14960524141031489"/>
          <c:w val="0.6276030361069731"/>
          <c:h val="0.75811393852846476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293.02850937589795</c:v>
                </c:pt>
                <c:pt idx="2">
                  <c:v>286.05701875179591</c:v>
                </c:pt>
                <c:pt idx="3">
                  <c:v>279.09885042397275</c:v>
                </c:pt>
                <c:pt idx="4">
                  <c:v>272.14068209614959</c:v>
                </c:pt>
                <c:pt idx="5">
                  <c:v>265.20857610800448</c:v>
                </c:pt>
                <c:pt idx="6">
                  <c:v>258.27647011985943</c:v>
                </c:pt>
                <c:pt idx="7">
                  <c:v>251.38202745707326</c:v>
                </c:pt>
                <c:pt idx="8">
                  <c:v>244.48758479428722</c:v>
                </c:pt>
                <c:pt idx="9">
                  <c:v>237.64076036372688</c:v>
                </c:pt>
                <c:pt idx="10">
                  <c:v>230.79393593316667</c:v>
                </c:pt>
                <c:pt idx="11">
                  <c:v>224.00260348519376</c:v>
                </c:pt>
                <c:pt idx="12">
                  <c:v>217.21127103722097</c:v>
                </c:pt>
                <c:pt idx="13">
                  <c:v>210.48087904647349</c:v>
                </c:pt>
                <c:pt idx="14">
                  <c:v>203.75048705572613</c:v>
                </c:pt>
                <c:pt idx="15">
                  <c:v>197.08382059978197</c:v>
                </c:pt>
                <c:pt idx="16">
                  <c:v>190.41715414383793</c:v>
                </c:pt>
                <c:pt idx="17">
                  <c:v>183.81421318626127</c:v>
                </c:pt>
                <c:pt idx="18">
                  <c:v>177.21127222868472</c:v>
                </c:pt>
                <c:pt idx="19">
                  <c:v>170.66927162532602</c:v>
                </c:pt>
                <c:pt idx="20">
                  <c:v>164.1272710219674</c:v>
                </c:pt>
                <c:pt idx="21">
                  <c:v>157.64076224942806</c:v>
                </c:pt>
                <c:pt idx="22">
                  <c:v>151.15425347688873</c:v>
                </c:pt>
                <c:pt idx="23">
                  <c:v>144.71536276228849</c:v>
                </c:pt>
                <c:pt idx="24">
                  <c:v>138.27647204768826</c:v>
                </c:pt>
                <c:pt idx="25">
                  <c:v>131.87524449177744</c:v>
                </c:pt>
                <c:pt idx="26">
                  <c:v>125.47401693586664</c:v>
                </c:pt>
                <c:pt idx="27">
                  <c:v>119.0988515894002</c:v>
                </c:pt>
                <c:pt idx="28">
                  <c:v>112.72368624293374</c:v>
                </c:pt>
                <c:pt idx="29">
                  <c:v>106.36184312146688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1056"/>
        <c:axId val="41421632"/>
      </c:scatterChart>
      <c:valAx>
        <c:axId val="4142105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41421632"/>
        <c:crosses val="autoZero"/>
        <c:crossBetween val="midCat"/>
      </c:valAx>
      <c:valAx>
        <c:axId val="41421632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414210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537482</xdr:colOff>
      <xdr:row>28</xdr:row>
      <xdr:rowOff>43542</xdr:rowOff>
    </xdr:from>
    <xdr:to>
      <xdr:col>20</xdr:col>
      <xdr:colOff>91168</xdr:colOff>
      <xdr:row>48</xdr:row>
      <xdr:rowOff>14967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458561</xdr:colOff>
      <xdr:row>29</xdr:row>
      <xdr:rowOff>680</xdr:rowOff>
    </xdr:from>
    <xdr:ext cx="581025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8650061" y="5525180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650061" y="5525180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18</xdr:col>
      <xdr:colOff>446315</xdr:colOff>
      <xdr:row>45</xdr:row>
      <xdr:rowOff>131308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99422" y="8703808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99422" y="8703808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  <xdr:twoCellAnchor>
    <xdr:from>
      <xdr:col>3</xdr:col>
      <xdr:colOff>68035</xdr:colOff>
      <xdr:row>27</xdr:row>
      <xdr:rowOff>122465</xdr:rowOff>
    </xdr:from>
    <xdr:to>
      <xdr:col>10</xdr:col>
      <xdr:colOff>29935</xdr:colOff>
      <xdr:row>47</xdr:row>
      <xdr:rowOff>93890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</xdr:col>
      <xdr:colOff>503464</xdr:colOff>
      <xdr:row>28</xdr:row>
      <xdr:rowOff>68035</xdr:rowOff>
    </xdr:from>
    <xdr:ext cx="581025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2367643" y="5402035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367643" y="5402035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8</xdr:col>
      <xdr:colOff>312964</xdr:colOff>
      <xdr:row>44</xdr:row>
      <xdr:rowOff>176893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5442857" y="8558893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5442857" y="8558893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19</xdr:row>
      <xdr:rowOff>29935</xdr:rowOff>
    </xdr:from>
    <xdr:to>
      <xdr:col>9</xdr:col>
      <xdr:colOff>122464</xdr:colOff>
      <xdr:row>41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444953</xdr:colOff>
      <xdr:row>20</xdr:row>
      <xdr:rowOff>55109</xdr:rowOff>
    </xdr:from>
    <xdr:ext cx="581025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57274" y="3865109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57274" y="3865109"/>
              <a:ext cx="58102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𝑻,[𝑪]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7</xdr:col>
      <xdr:colOff>419101</xdr:colOff>
      <xdr:row>38</xdr:row>
      <xdr:rowOff>76880</xdr:rowOff>
    </xdr:from>
    <xdr:ext cx="914400" cy="342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4732565" y="7315880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4732565" y="7315880"/>
              <a:ext cx="914400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sz="1600" b="1" i="0">
                  <a:latin typeface="Cambria Math"/>
                </a:rPr>
                <a:t>𝑳,[𝒎]</a:t>
              </a:r>
              <a:endParaRPr lang="ru-RU" sz="16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AJ22"/>
  <sheetViews>
    <sheetView tabSelected="1" zoomScale="70" zoomScaleNormal="70" workbookViewId="0">
      <selection activeCell="G13" sqref="G13"/>
    </sheetView>
  </sheetViews>
  <sheetFormatPr defaultRowHeight="15" x14ac:dyDescent="0.25"/>
  <cols>
    <col min="3" max="3" width="9.5703125" bestFit="1" customWidth="1"/>
    <col min="6" max="6" width="12.140625" bestFit="1" customWidth="1"/>
  </cols>
  <sheetData>
    <row r="3" spans="1:36" x14ac:dyDescent="0.25">
      <c r="B3" s="4" t="s">
        <v>0</v>
      </c>
      <c r="C3" s="4">
        <v>0.1</v>
      </c>
    </row>
    <row r="4" spans="1:36" x14ac:dyDescent="0.25">
      <c r="B4" s="4" t="s">
        <v>1</v>
      </c>
      <c r="C4" s="5">
        <f>C3/30</f>
        <v>3.3333333333333335E-3</v>
      </c>
    </row>
    <row r="5" spans="1:36" x14ac:dyDescent="0.25">
      <c r="B5" s="4" t="s">
        <v>2</v>
      </c>
      <c r="C5" s="5">
        <f>(C9*C8*C4^2)/(2*C10)</f>
        <v>9.0735524256651046E-2</v>
      </c>
    </row>
    <row r="6" spans="1:36" x14ac:dyDescent="0.25">
      <c r="B6" s="4" t="s">
        <v>3</v>
      </c>
      <c r="C6" s="4">
        <v>60</v>
      </c>
      <c r="D6">
        <v>0</v>
      </c>
      <c r="F6">
        <f>C6/C5</f>
        <v>661.26250431183144</v>
      </c>
    </row>
    <row r="7" spans="1:36" x14ac:dyDescent="0.25">
      <c r="A7" s="8"/>
      <c r="B7" s="11"/>
      <c r="C7" s="9"/>
      <c r="D7" s="8"/>
    </row>
    <row r="8" spans="1:36" x14ac:dyDescent="0.25">
      <c r="B8" s="4" t="s">
        <v>4</v>
      </c>
      <c r="C8" s="4">
        <v>390</v>
      </c>
    </row>
    <row r="9" spans="1:36" x14ac:dyDescent="0.25">
      <c r="B9" s="4" t="s">
        <v>5</v>
      </c>
      <c r="C9" s="4">
        <v>8920</v>
      </c>
    </row>
    <row r="10" spans="1:36" x14ac:dyDescent="0.25">
      <c r="B10" s="6" t="s">
        <v>6</v>
      </c>
      <c r="C10" s="6">
        <v>213</v>
      </c>
    </row>
    <row r="11" spans="1:36" x14ac:dyDescent="0.25">
      <c r="A11" s="8"/>
      <c r="B11" s="10"/>
      <c r="C11" s="10"/>
      <c r="D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7" t="s">
        <v>8</v>
      </c>
      <c r="C12" s="7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4" t="s">
        <v>9</v>
      </c>
      <c r="C13" s="4">
        <v>100</v>
      </c>
      <c r="E13" t="s">
        <v>7</v>
      </c>
      <c r="F13" s="1">
        <f>C12</f>
        <v>300</v>
      </c>
      <c r="G13" s="1">
        <v>293.09757702258992</v>
      </c>
      <c r="H13" s="1">
        <v>286.19773704392577</v>
      </c>
      <c r="I13" s="1">
        <v>279.30303476273588</v>
      </c>
      <c r="J13" s="1">
        <v>272.41596858778036</v>
      </c>
      <c r="K13" s="1">
        <v>265.5389532646372</v>
      </c>
      <c r="L13" s="1">
        <v>258.67429341913794</v>
      </c>
      <c r="M13" s="1">
        <v>251.82415830732015</v>
      </c>
      <c r="N13" s="1">
        <v>244.99055804854595</v>
      </c>
      <c r="O13" s="1">
        <v>238.17532160218349</v>
      </c>
      <c r="P13" s="1">
        <v>231.3800767291456</v>
      </c>
      <c r="Q13" s="1">
        <v>224.60623215783059</v>
      </c>
      <c r="R13" s="1">
        <v>217.85496214985744</v>
      </c>
      <c r="S13" s="1">
        <v>211.12719363469412</v>
      </c>
      <c r="T13" s="1">
        <v>204.4235960541312</v>
      </c>
      <c r="U13" s="1">
        <v>197.74457402786237</v>
      </c>
      <c r="V13" s="1">
        <v>191.09026292052246</v>
      </c>
      <c r="W13" s="1">
        <v>184.46052735874764</v>
      </c>
      <c r="X13" s="1">
        <v>177.85496271449696</v>
      </c>
      <c r="Y13" s="1">
        <v>171.27289953837857</v>
      </c>
      <c r="Z13" s="1">
        <v>164.7134108944019</v>
      </c>
      <c r="AA13" s="1">
        <v>158.17532251578908</v>
      </c>
      <c r="AB13" s="1">
        <v>151.65722567057193</v>
      </c>
      <c r="AC13" s="1">
        <v>145.15749259601273</v>
      </c>
      <c r="AD13" s="1">
        <v>138.67429433274327</v>
      </c>
      <c r="AE13" s="1">
        <v>132.20562076322636</v>
      </c>
      <c r="AF13" s="1">
        <v>125.74930263499436</v>
      </c>
      <c r="AG13" s="1">
        <v>119.30303532737484</v>
      </c>
      <c r="AH13" s="1">
        <v>112.86440410131223</v>
      </c>
      <c r="AI13" s="1">
        <v>106.43091055564759</v>
      </c>
      <c r="AJ13" s="1">
        <f>C13</f>
        <v>100</v>
      </c>
    </row>
    <row r="15" spans="1:36" x14ac:dyDescent="0.25">
      <c r="B15" t="s">
        <v>13</v>
      </c>
      <c r="C15">
        <f>C10/(C4^2)</f>
        <v>19169999.999999996</v>
      </c>
      <c r="E15" t="s">
        <v>10</v>
      </c>
      <c r="G15" s="1">
        <f t="shared" ref="G15:AH15" si="1">G19*H15+G20</f>
        <v>293.09886148550572</v>
      </c>
      <c r="H15" s="1">
        <f t="shared" si="1"/>
        <v>286.20029189684294</v>
      </c>
      <c r="I15" s="1">
        <f t="shared" si="1"/>
        <v>279.30683201401445</v>
      </c>
      <c r="J15" s="1">
        <f t="shared" si="1"/>
        <v>272.42096663374292</v>
      </c>
      <c r="K15" s="1">
        <f t="shared" si="1"/>
        <v>265.5450973453963</v>
      </c>
      <c r="L15" s="1">
        <f t="shared" si="1"/>
        <v>258.68151621856777</v>
      </c>
      <c r="M15" s="1">
        <f t="shared" si="1"/>
        <v>251.83238069059874</v>
      </c>
      <c r="N15" s="1">
        <f t="shared" si="1"/>
        <v>244.99968992918693</v>
      </c>
      <c r="O15" s="1">
        <f t="shared" si="1"/>
        <v>238.18526292905707</v>
      </c>
      <c r="P15" s="1">
        <f t="shared" si="1"/>
        <v>231.39071858267431</v>
      </c>
      <c r="Q15" s="1">
        <f t="shared" si="1"/>
        <v>224.61745794334888</v>
      </c>
      <c r="R15" s="1">
        <f t="shared" si="1"/>
        <v>217.86664887506004</v>
      </c>
      <c r="S15" s="1">
        <f t="shared" si="1"/>
        <v>211.13921325717641</v>
      </c>
      <c r="T15" s="1">
        <f t="shared" si="1"/>
        <v>204.43581688425718</v>
      </c>
      <c r="U15" s="1">
        <f t="shared" si="1"/>
        <v>197.75686217158986</v>
      </c>
      <c r="V15" s="1">
        <f t="shared" si="1"/>
        <v>191.10248374637732</v>
      </c>
      <c r="W15" s="1">
        <f t="shared" si="1"/>
        <v>184.47254697287434</v>
      </c>
      <c r="X15" s="1">
        <f t="shared" si="1"/>
        <v>177.86664942762474</v>
      </c>
      <c r="Y15" s="1">
        <f t="shared" si="1"/>
        <v>171.28412530863048</v>
      </c>
      <c r="Z15" s="1">
        <f t="shared" si="1"/>
        <v>164.72405273013987</v>
      </c>
      <c r="AA15" s="1">
        <f t="shared" si="1"/>
        <v>158.18526382312515</v>
      </c>
      <c r="AB15" s="1">
        <f t="shared" si="1"/>
        <v>151.66635753078248</v>
      </c>
      <c r="AC15" s="1">
        <f t="shared" si="1"/>
        <v>145.16571495886089</v>
      </c>
      <c r="AD15" s="1">
        <f t="shared" si="1"/>
        <v>138.68151711263556</v>
      </c>
      <c r="AE15" s="1">
        <f t="shared" si="1"/>
        <v>132.21176482619472</v>
      </c>
      <c r="AF15" s="1">
        <f t="shared" si="1"/>
        <v>125.75430066569054</v>
      </c>
      <c r="AG15" s="1">
        <f t="shared" si="1"/>
        <v>119.30683256657852</v>
      </c>
      <c r="AH15" s="1">
        <f t="shared" si="1"/>
        <v>112.86695894587385</v>
      </c>
      <c r="AI15" s="1">
        <f>AI19*AJ15+AI20</f>
        <v>106.43219501429229</v>
      </c>
      <c r="AJ15">
        <v>100</v>
      </c>
    </row>
    <row r="16" spans="1:36" x14ac:dyDescent="0.25">
      <c r="B16" t="s">
        <v>14</v>
      </c>
      <c r="C16">
        <f>(2*C10)/(C4^2)+(C9*C8)/C5</f>
        <v>76679999.99999997</v>
      </c>
    </row>
    <row r="17" spans="2:35" x14ac:dyDescent="0.25">
      <c r="B17" t="s">
        <v>15</v>
      </c>
      <c r="C17">
        <f>C15</f>
        <v>19169999.999999996</v>
      </c>
    </row>
    <row r="19" spans="2:35" x14ac:dyDescent="0.25">
      <c r="E19" t="s">
        <v>11</v>
      </c>
      <c r="F19">
        <v>0</v>
      </c>
      <c r="G19">
        <f>$C$15/($C$16-$C$17*F19)</f>
        <v>0.25000000000000006</v>
      </c>
      <c r="H19">
        <f t="shared" ref="H19:AI19" si="2">$C$15/($C$16-$C$17*G19)</f>
        <v>0.26666666666666672</v>
      </c>
      <c r="I19">
        <f t="shared" si="2"/>
        <v>0.2678571428571429</v>
      </c>
      <c r="J19">
        <f t="shared" si="2"/>
        <v>0.26794258373205748</v>
      </c>
      <c r="K19">
        <f t="shared" si="2"/>
        <v>0.267948717948718</v>
      </c>
      <c r="L19">
        <f t="shared" si="2"/>
        <v>0.26794915836482314</v>
      </c>
      <c r="M19">
        <f t="shared" si="2"/>
        <v>0.26794918998527251</v>
      </c>
      <c r="N19">
        <f t="shared" si="2"/>
        <v>0.26794919225551861</v>
      </c>
      <c r="O19">
        <f t="shared" si="2"/>
        <v>0.26794919241851495</v>
      </c>
      <c r="P19">
        <f t="shared" si="2"/>
        <v>0.26794919243021759</v>
      </c>
      <c r="Q19">
        <f t="shared" si="2"/>
        <v>0.26794919243105775</v>
      </c>
      <c r="R19">
        <f t="shared" si="2"/>
        <v>0.26794919243111809</v>
      </c>
      <c r="S19">
        <f t="shared" si="2"/>
        <v>0.26794919243112247</v>
      </c>
      <c r="T19">
        <f t="shared" si="2"/>
        <v>0.26794919243112275</v>
      </c>
      <c r="U19">
        <f t="shared" si="2"/>
        <v>0.26794919243112281</v>
      </c>
      <c r="V19">
        <f t="shared" si="2"/>
        <v>0.26794919243112281</v>
      </c>
      <c r="W19">
        <f t="shared" si="2"/>
        <v>0.26794919243112281</v>
      </c>
      <c r="X19">
        <f t="shared" si="2"/>
        <v>0.26794919243112281</v>
      </c>
      <c r="Y19">
        <f t="shared" si="2"/>
        <v>0.26794919243112281</v>
      </c>
      <c r="Z19">
        <f t="shared" si="2"/>
        <v>0.26794919243112281</v>
      </c>
      <c r="AA19">
        <f t="shared" si="2"/>
        <v>0.26794919243112281</v>
      </c>
      <c r="AB19">
        <f t="shared" si="2"/>
        <v>0.26794919243112281</v>
      </c>
      <c r="AC19">
        <f t="shared" si="2"/>
        <v>0.26794919243112281</v>
      </c>
      <c r="AD19">
        <f t="shared" si="2"/>
        <v>0.26794919243112281</v>
      </c>
      <c r="AE19">
        <f t="shared" si="2"/>
        <v>0.26794919243112281</v>
      </c>
      <c r="AF19">
        <f t="shared" si="2"/>
        <v>0.26794919243112281</v>
      </c>
      <c r="AG19">
        <f t="shared" si="2"/>
        <v>0.26794919243112281</v>
      </c>
      <c r="AH19">
        <f t="shared" si="2"/>
        <v>0.26794919243112281</v>
      </c>
      <c r="AI19">
        <f t="shared" si="2"/>
        <v>0.26794919243112281</v>
      </c>
    </row>
    <row r="20" spans="2:35" x14ac:dyDescent="0.25">
      <c r="E20" t="s">
        <v>16</v>
      </c>
      <c r="F20">
        <f>F13</f>
        <v>300</v>
      </c>
      <c r="G20">
        <f>(F20*$C$17-G22)/($C$16-$C$17*F19)</f>
        <v>221.54878851129499</v>
      </c>
      <c r="H20">
        <f t="shared" ref="H20:AI20" si="3">(G20*$C$17-H22)/($C$16-$C$17*G19)</f>
        <v>211.71847002643909</v>
      </c>
      <c r="I20">
        <f t="shared" si="3"/>
        <v>206.33693023711899</v>
      </c>
      <c r="J20">
        <f t="shared" si="3"/>
        <v>201.27012715363671</v>
      </c>
      <c r="K20">
        <f t="shared" si="3"/>
        <v>196.23171671760056</v>
      </c>
      <c r="L20">
        <f t="shared" si="3"/>
        <v>191.2032417635121</v>
      </c>
      <c r="M20">
        <f t="shared" si="3"/>
        <v>186.18491222743017</v>
      </c>
      <c r="N20">
        <f t="shared" si="3"/>
        <v>181.17814112017777</v>
      </c>
      <c r="O20">
        <f t="shared" si="3"/>
        <v>176.18430675168963</v>
      </c>
      <c r="P20">
        <f t="shared" si="3"/>
        <v>171.20465212102562</v>
      </c>
      <c r="Q20">
        <f t="shared" si="3"/>
        <v>166.24026531961573</v>
      </c>
      <c r="R20">
        <f t="shared" si="3"/>
        <v>161.292067192258</v>
      </c>
      <c r="S20">
        <f t="shared" si="3"/>
        <v>156.36080121904286</v>
      </c>
      <c r="T20">
        <f t="shared" si="3"/>
        <v>151.44702536766684</v>
      </c>
      <c r="U20">
        <f t="shared" si="3"/>
        <v>146.55110598016628</v>
      </c>
      <c r="V20">
        <f t="shared" si="3"/>
        <v>141.67321375928327</v>
      </c>
      <c r="W20">
        <f t="shared" si="3"/>
        <v>136.81332189831267</v>
      </c>
      <c r="X20">
        <f t="shared" si="3"/>
        <v>131.97120637490596</v>
      </c>
      <c r="Y20">
        <f t="shared" si="3"/>
        <v>127.1464484056078</v>
      </c>
      <c r="Z20">
        <f t="shared" si="3"/>
        <v>122.3384390342294</v>
      </c>
      <c r="AA20">
        <f t="shared" si="3"/>
        <v>117.54638580378206</v>
      </c>
      <c r="AB20">
        <f t="shared" si="3"/>
        <v>112.76932143886916</v>
      </c>
      <c r="AC20">
        <f t="shared" si="3"/>
        <v>108.00611444340726</v>
      </c>
      <c r="AD20">
        <f t="shared" si="3"/>
        <v>103.25548149756315</v>
      </c>
      <c r="AE20">
        <f t="shared" si="3"/>
        <v>98.516001518082348</v>
      </c>
      <c r="AF20">
        <f t="shared" si="3"/>
        <v>93.786131227960638</v>
      </c>
      <c r="AG20">
        <f t="shared" si="3"/>
        <v>89.06422206487494</v>
      </c>
      <c r="AH20">
        <f t="shared" si="3"/>
        <v>84.348538243122448</v>
      </c>
      <c r="AI20">
        <f t="shared" si="3"/>
        <v>79.637275771180001</v>
      </c>
    </row>
    <row r="21" spans="2:35" ht="15" customHeight="1" x14ac:dyDescent="3.5">
      <c r="E21" t="s">
        <v>18</v>
      </c>
      <c r="M21" s="12"/>
    </row>
    <row r="22" spans="2:35" x14ac:dyDescent="0.25">
      <c r="E22" t="s">
        <v>17</v>
      </c>
      <c r="F22">
        <f>-(($C$9*$C$8)/$C$5)*F13</f>
        <v>-11501999999.999996</v>
      </c>
      <c r="G22">
        <f t="shared" ref="G22:AI22" si="4">-(($C$9*$C$8)/$C$5)*G13</f>
        <v>-11237361103.046093</v>
      </c>
      <c r="H22">
        <f t="shared" si="4"/>
        <v>-10972821238.264111</v>
      </c>
      <c r="I22">
        <f t="shared" si="4"/>
        <v>-10708478352.803289</v>
      </c>
      <c r="J22">
        <f t="shared" si="4"/>
        <v>-10444428235.655495</v>
      </c>
      <c r="K22">
        <f t="shared" si="4"/>
        <v>-10180763468.166185</v>
      </c>
      <c r="L22">
        <f t="shared" si="4"/>
        <v>-9917572409.6897449</v>
      </c>
      <c r="M22">
        <f t="shared" si="4"/>
        <v>-9654938229.5026512</v>
      </c>
      <c r="N22">
        <f t="shared" si="4"/>
        <v>-9392937995.5812473</v>
      </c>
      <c r="O22">
        <f t="shared" si="4"/>
        <v>-9131641830.2277107</v>
      </c>
      <c r="P22">
        <f t="shared" si="4"/>
        <v>-8871112141.7954388</v>
      </c>
      <c r="Q22">
        <f t="shared" si="4"/>
        <v>-8611402940.931221</v>
      </c>
      <c r="R22">
        <f t="shared" si="4"/>
        <v>-8352559248.825531</v>
      </c>
      <c r="S22">
        <f t="shared" si="4"/>
        <v>-8094616603.9541693</v>
      </c>
      <c r="T22">
        <f t="shared" si="4"/>
        <v>-7837600672.7153873</v>
      </c>
      <c r="U22">
        <f t="shared" si="4"/>
        <v>-7581526968.22824</v>
      </c>
      <c r="V22">
        <f t="shared" si="4"/>
        <v>-7326400680.3728285</v>
      </c>
      <c r="W22">
        <f t="shared" si="4"/>
        <v>-7072216618.9343815</v>
      </c>
      <c r="X22">
        <f t="shared" si="4"/>
        <v>-6818959270.4738111</v>
      </c>
      <c r="Y22">
        <f t="shared" si="4"/>
        <v>-6566602968.3014317</v>
      </c>
      <c r="Z22">
        <f t="shared" si="4"/>
        <v>-6315112173.6913662</v>
      </c>
      <c r="AA22">
        <f t="shared" si="4"/>
        <v>-6064441865.2553511</v>
      </c>
      <c r="AB22">
        <f t="shared" si="4"/>
        <v>-5814538032.2097254</v>
      </c>
      <c r="AC22">
        <f t="shared" si="4"/>
        <v>-5565338266.1311255</v>
      </c>
      <c r="AD22">
        <f t="shared" si="4"/>
        <v>-5316772444.7173748</v>
      </c>
      <c r="AE22">
        <f t="shared" si="4"/>
        <v>-5068763500.0620966</v>
      </c>
      <c r="AF22">
        <f t="shared" si="4"/>
        <v>-4821228263.0256824</v>
      </c>
      <c r="AG22">
        <f t="shared" si="4"/>
        <v>-4574078374.4515495</v>
      </c>
      <c r="AH22">
        <f t="shared" si="4"/>
        <v>-4327221253.2443094</v>
      </c>
      <c r="AI22">
        <f t="shared" si="4"/>
        <v>-4080561110.703527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21"/>
  <sheetViews>
    <sheetView topLeftCell="A10" zoomScale="70" zoomScaleNormal="70" workbookViewId="0">
      <selection activeCell="G13" sqref="G13:AI13"/>
    </sheetView>
  </sheetViews>
  <sheetFormatPr defaultRowHeight="15" x14ac:dyDescent="0.25"/>
  <cols>
    <col min="3" max="3" width="13.140625" bestFit="1" customWidth="1"/>
  </cols>
  <sheetData>
    <row r="3" spans="1:36" x14ac:dyDescent="0.25">
      <c r="B3" s="4" t="s">
        <v>0</v>
      </c>
      <c r="C3" s="4">
        <v>0.1</v>
      </c>
    </row>
    <row r="4" spans="1:36" x14ac:dyDescent="0.25">
      <c r="B4" s="4" t="s">
        <v>1</v>
      </c>
      <c r="C4" s="5">
        <f>C3/30</f>
        <v>3.3333333333333335E-3</v>
      </c>
    </row>
    <row r="5" spans="1:36" x14ac:dyDescent="0.25">
      <c r="B5" s="4" t="s">
        <v>2</v>
      </c>
      <c r="C5" s="5">
        <f>(C9*C8*C4^2)/(2*C10)</f>
        <v>9.0735524256651046E-2</v>
      </c>
    </row>
    <row r="6" spans="1:36" x14ac:dyDescent="0.25">
      <c r="B6" s="4" t="s">
        <v>3</v>
      </c>
      <c r="C6" s="4">
        <v>60</v>
      </c>
      <c r="D6">
        <v>0</v>
      </c>
      <c r="G6">
        <f>C6/C5</f>
        <v>661.26250431183144</v>
      </c>
    </row>
    <row r="7" spans="1:36" x14ac:dyDescent="0.25">
      <c r="A7" s="8"/>
      <c r="B7" s="11"/>
      <c r="C7" s="9"/>
      <c r="D7" s="8"/>
    </row>
    <row r="8" spans="1:36" x14ac:dyDescent="0.25">
      <c r="B8" s="4" t="s">
        <v>4</v>
      </c>
      <c r="C8" s="4">
        <v>390</v>
      </c>
    </row>
    <row r="9" spans="1:36" x14ac:dyDescent="0.25">
      <c r="B9" s="4" t="s">
        <v>5</v>
      </c>
      <c r="C9" s="4">
        <v>8920</v>
      </c>
    </row>
    <row r="10" spans="1:36" x14ac:dyDescent="0.25">
      <c r="B10" s="6" t="s">
        <v>6</v>
      </c>
      <c r="C10" s="6">
        <v>213</v>
      </c>
    </row>
    <row r="11" spans="1:36" x14ac:dyDescent="0.25">
      <c r="A11" s="8"/>
      <c r="B11" s="10"/>
      <c r="C11" s="10"/>
      <c r="D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7" t="s">
        <v>8</v>
      </c>
      <c r="C12" s="7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4" t="s">
        <v>9</v>
      </c>
      <c r="C13" s="4">
        <v>100</v>
      </c>
      <c r="E13" t="s">
        <v>7</v>
      </c>
      <c r="F13" s="1">
        <f>C12</f>
        <v>300</v>
      </c>
      <c r="G13" s="1">
        <v>293.02850937589795</v>
      </c>
      <c r="H13" s="1">
        <v>286.05701875179591</v>
      </c>
      <c r="I13" s="1">
        <v>279.09885042397275</v>
      </c>
      <c r="J13" s="1">
        <v>272.14068209614959</v>
      </c>
      <c r="K13" s="1">
        <v>265.20857610800448</v>
      </c>
      <c r="L13" s="1">
        <v>258.27647011985943</v>
      </c>
      <c r="M13" s="1">
        <v>251.38202745707326</v>
      </c>
      <c r="N13" s="1">
        <v>244.48758479428722</v>
      </c>
      <c r="O13" s="1">
        <v>237.64076036372688</v>
      </c>
      <c r="P13" s="1">
        <v>230.79393593316667</v>
      </c>
      <c r="Q13" s="1">
        <v>224.00260348519376</v>
      </c>
      <c r="R13" s="1">
        <v>217.21127103722097</v>
      </c>
      <c r="S13" s="1">
        <v>210.48087904647349</v>
      </c>
      <c r="T13" s="1">
        <v>203.75048705572613</v>
      </c>
      <c r="U13" s="1">
        <v>197.08382059978197</v>
      </c>
      <c r="V13" s="1">
        <v>190.41715414383793</v>
      </c>
      <c r="W13" s="1">
        <v>183.81421318626127</v>
      </c>
      <c r="X13" s="1">
        <v>177.21127222868472</v>
      </c>
      <c r="Y13" s="1">
        <v>170.66927162532602</v>
      </c>
      <c r="Z13" s="1">
        <v>164.1272710219674</v>
      </c>
      <c r="AA13" s="1">
        <v>157.64076224942806</v>
      </c>
      <c r="AB13" s="1">
        <v>151.15425347688873</v>
      </c>
      <c r="AC13" s="1">
        <v>144.71536276228849</v>
      </c>
      <c r="AD13" s="1">
        <v>138.27647204768826</v>
      </c>
      <c r="AE13" s="1">
        <v>131.87524449177744</v>
      </c>
      <c r="AF13" s="1">
        <v>125.47401693586664</v>
      </c>
      <c r="AG13" s="1">
        <v>119.0988515894002</v>
      </c>
      <c r="AH13" s="1">
        <v>112.72368624293374</v>
      </c>
      <c r="AI13" s="1">
        <v>106.36184312146688</v>
      </c>
      <c r="AJ13" s="1">
        <f>C13</f>
        <v>100</v>
      </c>
    </row>
    <row r="14" spans="1:36" x14ac:dyDescent="0.25">
      <c r="B14" s="13" t="s">
        <v>11</v>
      </c>
      <c r="C14" s="13">
        <v>1000</v>
      </c>
    </row>
    <row r="15" spans="1:36" x14ac:dyDescent="0.25">
      <c r="B15" s="13" t="s">
        <v>12</v>
      </c>
      <c r="C15" s="13">
        <v>392</v>
      </c>
      <c r="E15" t="s">
        <v>10</v>
      </c>
      <c r="G15" s="1">
        <f>G13+(($C$10*$C$5)/($C$9*$C$8))*((H13-2*G13+F13)/($C$4^2))</f>
        <v>293.02850937589795</v>
      </c>
      <c r="H15" s="1">
        <f t="shared" ref="H15:AI15" si="1">H13+(($C$10*$C$5)/($C$9*$C$8))*((I13-2*H13+G13)/($C$4^2))</f>
        <v>286.06367989993532</v>
      </c>
      <c r="I15" s="1">
        <f t="shared" si="1"/>
        <v>279.09885042397275</v>
      </c>
      <c r="J15" s="1">
        <f t="shared" si="1"/>
        <v>272.15371326598859</v>
      </c>
      <c r="K15" s="1">
        <f t="shared" si="1"/>
        <v>265.20857610800454</v>
      </c>
      <c r="L15" s="1">
        <f t="shared" si="1"/>
        <v>258.2953017825389</v>
      </c>
      <c r="M15" s="1">
        <f t="shared" si="1"/>
        <v>251.38202745707332</v>
      </c>
      <c r="N15" s="1">
        <f t="shared" si="1"/>
        <v>244.51139391040007</v>
      </c>
      <c r="O15" s="1">
        <f t="shared" si="1"/>
        <v>237.64076036372694</v>
      </c>
      <c r="P15" s="1">
        <f t="shared" si="1"/>
        <v>230.82168192446034</v>
      </c>
      <c r="Q15" s="1">
        <f t="shared" si="1"/>
        <v>224.00260348519382</v>
      </c>
      <c r="R15" s="1">
        <f t="shared" si="1"/>
        <v>217.24174126583364</v>
      </c>
      <c r="S15" s="1">
        <f t="shared" si="1"/>
        <v>210.48087904647355</v>
      </c>
      <c r="T15" s="1">
        <f t="shared" si="1"/>
        <v>203.78234982312773</v>
      </c>
      <c r="U15" s="1">
        <f t="shared" si="1"/>
        <v>197.08382059978203</v>
      </c>
      <c r="V15" s="1">
        <f t="shared" si="1"/>
        <v>190.44901689302162</v>
      </c>
      <c r="W15" s="1">
        <f t="shared" si="1"/>
        <v>183.81421318626133</v>
      </c>
      <c r="X15" s="1">
        <f t="shared" si="1"/>
        <v>177.24174240579364</v>
      </c>
      <c r="Y15" s="1">
        <f t="shared" si="1"/>
        <v>170.66927162532608</v>
      </c>
      <c r="Z15" s="1">
        <f t="shared" si="1"/>
        <v>164.15501693737704</v>
      </c>
      <c r="AA15" s="1">
        <f t="shared" si="1"/>
        <v>157.64076224942806</v>
      </c>
      <c r="AB15" s="1">
        <f t="shared" si="1"/>
        <v>151.17806250585829</v>
      </c>
      <c r="AC15" s="1">
        <f t="shared" si="1"/>
        <v>144.71536276228849</v>
      </c>
      <c r="AD15" s="1">
        <f t="shared" si="1"/>
        <v>138.29530362703298</v>
      </c>
      <c r="AE15" s="1">
        <f t="shared" si="1"/>
        <v>131.87524449177744</v>
      </c>
      <c r="AF15" s="1">
        <f t="shared" si="1"/>
        <v>125.48704804058882</v>
      </c>
      <c r="AG15" s="1">
        <f t="shared" si="1"/>
        <v>119.0988515894002</v>
      </c>
      <c r="AH15" s="1">
        <f t="shared" si="1"/>
        <v>112.73034735543354</v>
      </c>
      <c r="AI15" s="1">
        <f t="shared" si="1"/>
        <v>106.36184312146688</v>
      </c>
    </row>
    <row r="21" spans="13:13" ht="15" customHeight="1" x14ac:dyDescent="3.5">
      <c r="M21" s="12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неявная</vt:lpstr>
      <vt:lpstr>явная 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2021-09-07T08:29:17Z</dcterms:created>
  <dcterms:modified xsi:type="dcterms:W3CDTF">2021-10-31T17:26:47Z</dcterms:modified>
</cp:coreProperties>
</file>