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240" yWindow="75" windowWidth="20115" windowHeight="7995"/>
  </bookViews>
  <sheets>
    <sheet name="Лист1" sheetId="1" r:id="rId1"/>
    <sheet name="Лист2" sheetId="2" r:id="rId2"/>
    <sheet name="Лист3" sheetId="3" r:id="rId3"/>
  </sheets>
  <calcPr calcId="144525"/>
</workbook>
</file>

<file path=xl/calcChain.xml><?xml version="1.0" encoding="utf-8"?>
<calcChain xmlns="http://schemas.openxmlformats.org/spreadsheetml/2006/main">
  <c r="H15" i="1" l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G15" i="1"/>
  <c r="C5" i="1"/>
  <c r="AJ13" i="1"/>
  <c r="F13" i="1"/>
  <c r="H12" i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<sst xmlns="http://schemas.openxmlformats.org/spreadsheetml/2006/main" count="12" uniqueCount="11">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</sst>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mbria Math"/>
      <family val="1"/>
      <charset val="204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165" fontId="0" fillId="0" borderId="1" xfId="0" applyNumberFormat="1" applyBorder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158174672610369"/>
          <c:y val="0.14960524141031489"/>
          <c:w val="0.6276030361069731"/>
          <c:h val="0.75811393852846476"/>
        </c:manualLayout>
      </c:layout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293.18892232657896</c:v>
                </c:pt>
                <c:pt idx="2">
                  <c:v>286.37784465315792</c:v>
                </c:pt>
                <c:pt idx="3">
                  <c:v>279.57307843501241</c:v>
                </c:pt>
                <c:pt idx="4">
                  <c:v>272.76831221686683</c:v>
                </c:pt>
                <c:pt idx="5">
                  <c:v>265.97589306816292</c:v>
                </c:pt>
                <c:pt idx="6">
                  <c:v>259.18347391945895</c:v>
                </c:pt>
                <c:pt idx="7">
                  <c:v>252.4088978277635</c:v>
                </c:pt>
                <c:pt idx="8">
                  <c:v>245.63432173606799</c:v>
                </c:pt>
                <c:pt idx="9">
                  <c:v>238.88230486120256</c:v>
                </c:pt>
                <c:pt idx="10">
                  <c:v>232.13028798633709</c:v>
                </c:pt>
                <c:pt idx="11">
                  <c:v>225.4045605415389</c:v>
                </c:pt>
                <c:pt idx="12">
                  <c:v>218.67883309674073</c:v>
                </c:pt>
                <c:pt idx="13">
                  <c:v>211.98197632051659</c:v>
                </c:pt>
                <c:pt idx="14">
                  <c:v>205.28511954429248</c:v>
                </c:pt>
                <c:pt idx="15">
                  <c:v>198.61845288806603</c:v>
                </c:pt>
                <c:pt idx="16">
                  <c:v>191.95178623183955</c:v>
                </c:pt>
                <c:pt idx="17">
                  <c:v>185.31530969380552</c:v>
                </c:pt>
                <c:pt idx="18">
                  <c:v>178.67883315577149</c:v>
                </c:pt>
                <c:pt idx="19">
                  <c:v>172.07122728120802</c:v>
                </c:pt>
                <c:pt idx="20">
                  <c:v>165.46362140664456</c:v>
                </c:pt>
                <c:pt idx="21">
                  <c:v>158.88230495462906</c:v>
                </c:pt>
                <c:pt idx="22">
                  <c:v>152.30098850261356</c:v>
                </c:pt>
                <c:pt idx="23">
                  <c:v>145.74223125879314</c:v>
                </c:pt>
                <c:pt idx="24">
                  <c:v>139.18347401497272</c:v>
                </c:pt>
                <c:pt idx="25">
                  <c:v>132.64255981990314</c:v>
                </c:pt>
                <c:pt idx="26">
                  <c:v>126.10164562483355</c:v>
                </c:pt>
                <c:pt idx="27">
                  <c:v>119.57307849275318</c:v>
                </c:pt>
                <c:pt idx="28">
                  <c:v>113.0445113606728</c:v>
                </c:pt>
                <c:pt idx="29">
                  <c:v>106.5222556803364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97024"/>
        <c:axId val="74897600"/>
      </c:scatterChart>
      <c:valAx>
        <c:axId val="74897024"/>
        <c:scaling>
          <c:orientation val="minMax"/>
          <c:max val="0.1"/>
        </c:scaling>
        <c:delete val="0"/>
        <c:axPos val="b"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400" b="1" i="1"/>
            </a:pPr>
            <a:endParaRPr lang="ru-RU"/>
          </a:p>
        </c:txPr>
        <c:crossAx val="74897600"/>
        <c:crosses val="autoZero"/>
        <c:crossBetween val="midCat"/>
      </c:valAx>
      <c:valAx>
        <c:axId val="74897600"/>
        <c:scaling>
          <c:orientation val="minMax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 b="1" i="1"/>
            </a:pPr>
            <a:endParaRPr lang="ru-RU"/>
          </a:p>
        </c:txPr>
        <c:crossAx val="7489702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</xdr:colOff>
      <xdr:row>16</xdr:row>
      <xdr:rowOff>57150</xdr:rowOff>
    </xdr:from>
    <xdr:to>
      <xdr:col>12</xdr:col>
      <xdr:colOff>9525</xdr:colOff>
      <xdr:row>36</xdr:row>
      <xdr:rowOff>28575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104775</xdr:colOff>
      <xdr:row>16</xdr:row>
      <xdr:rowOff>109537</xdr:rowOff>
    </xdr:from>
    <xdr:ext cx="581025" cy="3427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3181350" y="3157537"/>
              <a:ext cx="581025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/>
                      </a:rPr>
                      <m:t>𝑻</m:t>
                    </m:r>
                    <m:r>
                      <a:rPr lang="en-US" sz="1600" b="1" i="1">
                        <a:latin typeface="Cambria Math"/>
                      </a:rPr>
                      <m:t>,[</m:t>
                    </m:r>
                    <m:r>
                      <a:rPr lang="en-US" sz="1600" b="1" i="1">
                        <a:latin typeface="Cambria Math"/>
                      </a:rPr>
                      <m:t>𝑪</m:t>
                    </m:r>
                    <m:r>
                      <a:rPr lang="en-US" sz="16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600" b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3181350" y="3157537"/>
              <a:ext cx="581025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600" b="1" i="0">
                  <a:latin typeface="Cambria Math"/>
                </a:rPr>
                <a:t>𝑻,[𝑪]</a:t>
              </a:r>
              <a:endParaRPr lang="ru-RU" sz="1600" b="1"/>
            </a:p>
          </xdr:txBody>
        </xdr:sp>
      </mc:Fallback>
    </mc:AlternateContent>
    <xdr:clientData/>
  </xdr:oneCellAnchor>
  <xdr:oneCellAnchor>
    <xdr:from>
      <xdr:col>10</xdr:col>
      <xdr:colOff>514350</xdr:colOff>
      <xdr:row>34</xdr:row>
      <xdr:rowOff>90487</xdr:rowOff>
    </xdr:from>
    <xdr:ext cx="914400" cy="3427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6638925" y="6567487"/>
              <a:ext cx="914400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/>
                      </a:rPr>
                      <m:t>𝑳</m:t>
                    </m:r>
                    <m:r>
                      <a:rPr lang="en-US" sz="1600" b="1" i="1">
                        <a:latin typeface="Cambria Math"/>
                      </a:rPr>
                      <m:t>,[</m:t>
                    </m:r>
                    <m:r>
                      <a:rPr lang="en-US" sz="1600" b="1" i="1">
                        <a:latin typeface="Cambria Math"/>
                      </a:rPr>
                      <m:t>𝒎</m:t>
                    </m:r>
                    <m:r>
                      <a:rPr lang="en-US" sz="16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600" b="1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6638925" y="6567487"/>
              <a:ext cx="914400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r>
                <a:rPr lang="en-US" sz="1600" b="1" i="0">
                  <a:latin typeface="Cambria Math"/>
                </a:rPr>
                <a:t>𝑳,[𝒎]</a:t>
              </a:r>
              <a:endParaRPr lang="ru-RU" sz="16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3:AJ21"/>
  <sheetViews>
    <sheetView tabSelected="1" zoomScale="70" zoomScaleNormal="70" workbookViewId="0">
      <selection activeCell="G8" sqref="G8"/>
    </sheetView>
  </sheetViews>
  <sheetFormatPr defaultRowHeight="15" x14ac:dyDescent="0.25"/>
  <cols>
    <col min="3" max="3" width="9.5703125" bestFit="1" customWidth="1"/>
  </cols>
  <sheetData>
    <row r="3" spans="1:36" x14ac:dyDescent="0.25">
      <c r="B3" s="4" t="s">
        <v>0</v>
      </c>
      <c r="C3" s="4">
        <v>0.1</v>
      </c>
    </row>
    <row r="4" spans="1:36" x14ac:dyDescent="0.25">
      <c r="B4" s="4" t="s">
        <v>1</v>
      </c>
      <c r="C4" s="5">
        <f>C3/30</f>
        <v>3.3333333333333335E-3</v>
      </c>
    </row>
    <row r="5" spans="1:36" x14ac:dyDescent="0.25">
      <c r="B5" s="4" t="s">
        <v>2</v>
      </c>
      <c r="C5" s="5">
        <f>(C9*C8*C4^2)/(2*C10)</f>
        <v>0.4333333333333334</v>
      </c>
    </row>
    <row r="6" spans="1:36" x14ac:dyDescent="0.25">
      <c r="B6" s="4" t="s">
        <v>3</v>
      </c>
      <c r="C6" s="4">
        <v>500</v>
      </c>
      <c r="D6">
        <v>0</v>
      </c>
    </row>
    <row r="7" spans="1:36" x14ac:dyDescent="0.25">
      <c r="A7" s="8"/>
      <c r="B7" s="11"/>
      <c r="C7" s="9"/>
      <c r="D7" s="8"/>
    </row>
    <row r="8" spans="1:36" x14ac:dyDescent="0.25">
      <c r="B8" s="4" t="s">
        <v>4</v>
      </c>
      <c r="C8" s="4">
        <v>460</v>
      </c>
    </row>
    <row r="9" spans="1:36" x14ac:dyDescent="0.25">
      <c r="B9" s="4" t="s">
        <v>5</v>
      </c>
      <c r="C9" s="4">
        <v>7800</v>
      </c>
    </row>
    <row r="10" spans="1:36" x14ac:dyDescent="0.25">
      <c r="B10" s="6" t="s">
        <v>6</v>
      </c>
      <c r="C10" s="6">
        <v>46</v>
      </c>
    </row>
    <row r="11" spans="1:36" x14ac:dyDescent="0.25">
      <c r="A11" s="8"/>
      <c r="B11" s="10"/>
      <c r="C11" s="10"/>
      <c r="D11" s="8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1:36" x14ac:dyDescent="0.25">
      <c r="B12" s="7" t="s">
        <v>8</v>
      </c>
      <c r="C12" s="7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1:36" x14ac:dyDescent="0.25">
      <c r="B13" s="4" t="s">
        <v>9</v>
      </c>
      <c r="C13" s="4">
        <v>100</v>
      </c>
      <c r="E13" t="s">
        <v>7</v>
      </c>
      <c r="F13" s="1">
        <f>C12</f>
        <v>300</v>
      </c>
      <c r="G13" s="1">
        <v>293.18892232657896</v>
      </c>
      <c r="H13" s="1">
        <v>286.37784465315792</v>
      </c>
      <c r="I13" s="1">
        <v>279.57307843501241</v>
      </c>
      <c r="J13" s="1">
        <v>272.76831221686683</v>
      </c>
      <c r="K13" s="1">
        <v>265.97589306816292</v>
      </c>
      <c r="L13" s="1">
        <v>259.18347391945895</v>
      </c>
      <c r="M13" s="1">
        <v>252.4088978277635</v>
      </c>
      <c r="N13" s="1">
        <v>245.63432173606799</v>
      </c>
      <c r="O13" s="1">
        <v>238.88230486120256</v>
      </c>
      <c r="P13" s="1">
        <v>232.13028798633709</v>
      </c>
      <c r="Q13" s="1">
        <v>225.4045605415389</v>
      </c>
      <c r="R13" s="1">
        <v>218.67883309674073</v>
      </c>
      <c r="S13" s="1">
        <v>211.98197632051659</v>
      </c>
      <c r="T13" s="1">
        <v>205.28511954429248</v>
      </c>
      <c r="U13" s="1">
        <v>198.61845288806603</v>
      </c>
      <c r="V13" s="1">
        <v>191.95178623183955</v>
      </c>
      <c r="W13" s="1">
        <v>185.31530969380552</v>
      </c>
      <c r="X13" s="1">
        <v>178.67883315577149</v>
      </c>
      <c r="Y13" s="1">
        <v>172.07122728120802</v>
      </c>
      <c r="Z13" s="1">
        <v>165.46362140664456</v>
      </c>
      <c r="AA13" s="1">
        <v>158.88230495462906</v>
      </c>
      <c r="AB13" s="1">
        <v>152.30098850261356</v>
      </c>
      <c r="AC13" s="1">
        <v>145.74223125879314</v>
      </c>
      <c r="AD13" s="1">
        <v>139.18347401497272</v>
      </c>
      <c r="AE13" s="1">
        <v>132.64255981990314</v>
      </c>
      <c r="AF13" s="1">
        <v>126.10164562483355</v>
      </c>
      <c r="AG13" s="1">
        <v>119.57307849275318</v>
      </c>
      <c r="AH13" s="1">
        <v>113.0445113606728</v>
      </c>
      <c r="AI13" s="1">
        <v>106.5222556803364</v>
      </c>
      <c r="AJ13" s="1">
        <f>C13</f>
        <v>100</v>
      </c>
    </row>
    <row r="15" spans="1:36" x14ac:dyDescent="0.25">
      <c r="E15" t="s">
        <v>10</v>
      </c>
      <c r="G15" s="1">
        <f>G13+(($C$10*$C$5)/($C$9*$C$8))*((H13-2*G13+F13)/($C$4^2))</f>
        <v>293.18892232657896</v>
      </c>
      <c r="H15" s="1">
        <f t="shared" ref="H15:AI15" si="1">H13+(($C$10*$C$5)/($C$9*$C$8))*((I13-2*H13+G13)/($C$4^2))</f>
        <v>286.38100038079568</v>
      </c>
      <c r="I15" s="1">
        <f t="shared" si="1"/>
        <v>279.57307843501235</v>
      </c>
      <c r="J15" s="1">
        <f t="shared" si="1"/>
        <v>272.77448575158769</v>
      </c>
      <c r="K15" s="1">
        <f t="shared" si="1"/>
        <v>265.97589306816292</v>
      </c>
      <c r="L15" s="1">
        <f t="shared" si="1"/>
        <v>259.19239544796324</v>
      </c>
      <c r="M15" s="1">
        <f t="shared" si="1"/>
        <v>252.40889782776347</v>
      </c>
      <c r="N15" s="1">
        <f t="shared" si="1"/>
        <v>245.64560134448303</v>
      </c>
      <c r="O15" s="1">
        <f t="shared" si="1"/>
        <v>238.88230486120256</v>
      </c>
      <c r="P15" s="1">
        <f t="shared" si="1"/>
        <v>232.14343270137073</v>
      </c>
      <c r="Q15" s="1">
        <f t="shared" si="1"/>
        <v>225.4045605415389</v>
      </c>
      <c r="R15" s="1">
        <f t="shared" si="1"/>
        <v>218.69326843102775</v>
      </c>
      <c r="S15" s="1">
        <f t="shared" si="1"/>
        <v>211.98197632051659</v>
      </c>
      <c r="T15" s="1">
        <f t="shared" si="1"/>
        <v>205.30021460429131</v>
      </c>
      <c r="U15" s="1">
        <f t="shared" si="1"/>
        <v>198.61845288806603</v>
      </c>
      <c r="V15" s="1">
        <f t="shared" si="1"/>
        <v>191.96688129093576</v>
      </c>
      <c r="W15" s="1">
        <f t="shared" si="1"/>
        <v>185.31530969380552</v>
      </c>
      <c r="X15" s="1">
        <f t="shared" si="1"/>
        <v>178.69326848750677</v>
      </c>
      <c r="Y15" s="1">
        <f t="shared" si="1"/>
        <v>172.07122728120802</v>
      </c>
      <c r="Z15" s="1">
        <f t="shared" si="1"/>
        <v>165.47676611791854</v>
      </c>
      <c r="AA15" s="1">
        <f t="shared" si="1"/>
        <v>158.88230495462906</v>
      </c>
      <c r="AB15" s="1">
        <f t="shared" si="1"/>
        <v>152.31226810671109</v>
      </c>
      <c r="AC15" s="1">
        <f t="shared" si="1"/>
        <v>145.74223125879314</v>
      </c>
      <c r="AD15" s="1">
        <f t="shared" si="1"/>
        <v>139.19239553934813</v>
      </c>
      <c r="AE15" s="1">
        <f t="shared" si="1"/>
        <v>132.64255981990314</v>
      </c>
      <c r="AF15" s="1">
        <f t="shared" si="1"/>
        <v>126.10781915632816</v>
      </c>
      <c r="AG15" s="1">
        <f t="shared" si="1"/>
        <v>119.57307849275318</v>
      </c>
      <c r="AH15" s="1">
        <f t="shared" si="1"/>
        <v>113.04766708654479</v>
      </c>
      <c r="AI15" s="1">
        <f t="shared" si="1"/>
        <v>106.5222556803364</v>
      </c>
    </row>
    <row r="21" spans="13:13" ht="15" customHeight="1" x14ac:dyDescent="3.5">
      <c r="M21" s="12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2021-09-07T08:29:17Z</dcterms:created>
  <dcterms:modified xsi:type="dcterms:W3CDTF">2021-09-07T10:21:21Z</dcterms:modified>
</cp:coreProperties>
</file>